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tock" sheetId="1" r:id="rId1"/>
    <sheet name="Programacion" sheetId="2" r:id="rId2"/>
  </sheets>
  <definedNames>
    <definedName name="_xlnm._FilterDatabase">Stock!$A$1:$I$19</definedName>
    <definedName name="Stock">'[1]06-06-2019'!$B$5:$B$124</definedName>
    <definedName name="_xlnm.Print_Area" localSheetId="0">'Stock'!$A1:$I33</definedName>
    <definedName name="_xlnm.Print_Area" localSheetId="1">'Programacion'!$A1:$M163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5" fontId="0" fillId="0" borderId="0" xfId="0" applyNumberFormat="1"/>
    <xf numFmtId="0" fontId="0" fillId="0" borderId="0" xfId="0"/>
    <xf numFmtId="15" fontId="0" fillId="0" borderId="0" xfId="0" applyNumberFormat="1"/>
    <xf numFmtId="14" fontId="0" fillId="0" borderId="0" xfId="0" applyNumberFormat="1"/>
    <xf numFmtId="16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2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workbookViewId="0" rightToLeft="0"/>
  </sheetViews>
  <cols>
    <col min="1" max="1" customWidth="1" width="39.85546875"/>
    <col min="2" max="2" customWidth="1" width="43.85546875"/>
    <col min="3" max="3" customWidth="1" width="18.5703125"/>
    <col min="4" max="4" customWidth="1" width="23.85546875"/>
    <col min="5" max="5" customWidth="1" width="17.140625"/>
    <col min="6" max="6" customWidth="1" width="8.42578125"/>
    <col min="7" max="7" customWidth="1" width="8.5703125"/>
    <col min="8" max="8" customWidth="1" width="14.140625"/>
    <col min="9" max="9" customWidth="1" width="14.140625"/>
  </cols>
  <sheetData>
    <row r="1"/>
    <row r="2" ht="24" customHeight="1">
      <c r="B2" s="3" t="str">
        <v>STOCK DE TRAILERS</v>
      </c>
    </row>
    <row r="3" ht="15.75" customHeight="1"/>
    <row r="4">
      <c r="A4" s="4" t="str">
        <v>TRAILERS</v>
      </c>
      <c r="B4" s="4" t="str">
        <v>TITULO ORIGINAL</v>
      </c>
      <c r="C4" s="4" t="str">
        <v>FECHA DE ESTRENO</v>
      </c>
      <c r="D4" s="4" t="str">
        <v>DISTRIBUIDORA</v>
      </c>
      <c r="E4" s="4" t="str">
        <v>CALIFICACION</v>
      </c>
      <c r="F4" s="4" t="str">
        <v>FORMATOS</v>
      </c>
      <c r="H4" s="4" t="str">
        <v>VERSION</v>
      </c>
      <c r="I4" s="4" t="str">
        <v>DURACION</v>
      </c>
    </row>
    <row r="5">
      <c r="A5" s="5" t="str">
        <v>MACHINE KELLY</v>
      </c>
      <c r="B5" s="5" t="str">
        <v>MACHINE KELLY</v>
      </c>
      <c r="C5" s="6">
        <v>45059</v>
      </c>
      <c r="D5" s="7" t="str">
        <v>TRAFALGAR</v>
      </c>
      <c r="E5" s="7" t="str">
        <v>SAM13</v>
      </c>
      <c r="F5" s="5" t="str">
        <v>FLAT</v>
      </c>
      <c r="G5" s="5" t="str">
        <v>SCOPE</v>
      </c>
      <c r="H5" s="5" t="str">
        <v>2D</v>
      </c>
    </row>
    <row r="6">
      <c r="A6" s="5" t="str">
        <v>NO DESCANSARAS</v>
      </c>
      <c r="B6" s="5" t="str">
        <v>BED REST</v>
      </c>
      <c r="C6" s="6">
        <v>45064</v>
      </c>
      <c r="D6" s="5" t="str">
        <v>DIAMOND</v>
      </c>
      <c r="E6" s="5" t="str">
        <v>SAM13</v>
      </c>
      <c r="F6" s="5" t="str">
        <v>FLAT</v>
      </c>
      <c r="G6" s="5" t="str">
        <v>SCOPE</v>
      </c>
      <c r="H6" s="5" t="str">
        <v>2D</v>
      </c>
      <c r="I6" s="5">
        <v>127</v>
      </c>
    </row>
    <row r="7">
      <c r="A7" s="5" t="str">
        <v>RAPIDOS Y FURIOSOS</v>
      </c>
      <c r="B7" s="5" t="str">
        <v>FAST X</v>
      </c>
      <c r="C7" s="6">
        <v>45064</v>
      </c>
      <c r="D7" s="5" t="str">
        <v>UIP</v>
      </c>
      <c r="E7" s="5" t="str">
        <v>SAM13</v>
      </c>
      <c r="F7" s="5" t="str">
        <v>FLAT</v>
      </c>
      <c r="G7" s="5" t="str">
        <v>SCOPE</v>
      </c>
      <c r="H7" s="5" t="str">
        <v>2D</v>
      </c>
      <c r="I7" s="5">
        <f>120+60+45</f>
        <v>225</v>
      </c>
    </row>
    <row r="8">
      <c r="A8" s="5" t="str">
        <v>LA SIRENITA</v>
      </c>
      <c r="B8" s="5" t="str">
        <v>THE LITTLE MERMAID</v>
      </c>
      <c r="C8" s="8">
        <v>45071</v>
      </c>
      <c r="D8" s="5" t="str">
        <v>BUENA VISTA</v>
      </c>
      <c r="E8" s="5" t="str">
        <v>ATP</v>
      </c>
      <c r="F8" s="5" t="str">
        <v>FLAT</v>
      </c>
      <c r="G8" s="5" t="str">
        <v>SCOPE</v>
      </c>
      <c r="H8" s="5" t="str">
        <v>2D</v>
      </c>
      <c r="I8" s="5">
        <v>85</v>
      </c>
    </row>
    <row r="9">
      <c r="A9" s="5" t="str">
        <v>BEAU TIENE MIEDO</v>
      </c>
      <c r="B9" s="5" t="str">
        <v>BEAU TIENE MIEDO</v>
      </c>
      <c r="C9" s="6">
        <v>45078</v>
      </c>
      <c r="D9" s="5" t="str">
        <v>DIAMOND</v>
      </c>
      <c r="E9" s="7" t="str">
        <v>SAM13</v>
      </c>
      <c r="F9" s="7" t="str">
        <v>FLAT</v>
      </c>
      <c r="G9" s="7" t="str">
        <v>SCOPE</v>
      </c>
      <c r="H9" s="7" t="str">
        <v>2D</v>
      </c>
      <c r="I9" s="5">
        <v>144</v>
      </c>
    </row>
    <row r="10">
      <c r="A10" s="5" t="str">
        <v>SPIDERMAN CRUZANDO EL MULTIVERSO</v>
      </c>
      <c r="B10" s="5" t="str">
        <v>SPIDERMAN CRUZANDO EL MULTIVERSO</v>
      </c>
      <c r="C10" s="8">
        <v>45078</v>
      </c>
      <c r="D10" s="5" t="str">
        <v>UIP</v>
      </c>
      <c r="E10" s="5" t="str">
        <v>SAM13</v>
      </c>
      <c r="F10" s="5" t="str">
        <v>FLAT</v>
      </c>
      <c r="G10" s="5" t="str">
        <v>SCOPE</v>
      </c>
      <c r="H10" s="5" t="str">
        <v>2D</v>
      </c>
      <c r="I10" s="5">
        <v>132</v>
      </c>
    </row>
    <row r="11">
      <c r="A11" s="5" t="str">
        <v>THE BOOGEYMAN</v>
      </c>
      <c r="B11" s="5" t="str">
        <v>BOOGEYMAN</v>
      </c>
      <c r="C11" s="8">
        <v>45078</v>
      </c>
      <c r="E11" s="5" t="str">
        <v>SAM13</v>
      </c>
      <c r="F11" s="5" t="str">
        <v>FLAT</v>
      </c>
      <c r="G11" s="5" t="str">
        <v>SCOPE</v>
      </c>
      <c r="H11" s="5" t="str">
        <v>2D</v>
      </c>
      <c r="I11" s="5">
        <v>126</v>
      </c>
    </row>
    <row r="12">
      <c r="A12" s="5" t="str">
        <v>TRANSFORMERS 6</v>
      </c>
      <c r="B12" s="5" t="str">
        <v>TRANSFORMERS 6</v>
      </c>
      <c r="C12" s="8">
        <v>45085</v>
      </c>
      <c r="D12" s="5" t="str">
        <v>UIP</v>
      </c>
      <c r="E12" s="7" t="str">
        <v>SAM13</v>
      </c>
      <c r="F12" s="5" t="str">
        <v>FLAT</v>
      </c>
      <c r="G12" s="5" t="str">
        <v>SCOPE</v>
      </c>
      <c r="H12" s="5" t="str">
        <v>2D/3D</v>
      </c>
      <c r="I12" s="5">
        <v>131</v>
      </c>
    </row>
    <row r="13">
      <c r="A13" s="9" t="str">
        <v>ELEMENTOS</v>
      </c>
      <c r="B13" s="9" t="str">
        <v>ELEMENTAL</v>
      </c>
      <c r="C13" s="6">
        <v>45092</v>
      </c>
      <c r="D13" s="5" t="str">
        <v>BUENA VISTA</v>
      </c>
      <c r="E13" s="5" t="str">
        <v>ATP</v>
      </c>
      <c r="F13" s="5" t="str">
        <v>FLAT</v>
      </c>
      <c r="G13" s="5" t="str">
        <v>SCOPE</v>
      </c>
      <c r="H13" s="5" t="str">
        <v>2D/3D</v>
      </c>
      <c r="I13" s="5">
        <v>91</v>
      </c>
    </row>
    <row r="14">
      <c r="A14" s="9" t="str">
        <v>STRAYS</v>
      </c>
      <c r="B14" s="9" t="str">
        <v>STRAYS</v>
      </c>
      <c r="C14" s="6">
        <v>45092</v>
      </c>
      <c r="D14" s="5" t="str">
        <v>UIP</v>
      </c>
      <c r="E14" s="5" t="str">
        <v>ATP</v>
      </c>
      <c r="F14" s="5" t="str">
        <v>FLAT</v>
      </c>
      <c r="G14" s="5" t="str">
        <v>SCOPE</v>
      </c>
      <c r="H14" s="5" t="str">
        <v>2D</v>
      </c>
      <c r="I14" s="5">
        <v>147</v>
      </c>
    </row>
    <row r="15">
      <c r="A15" s="9" t="str">
        <v>THE FLASH</v>
      </c>
      <c r="B15" s="9" t="str">
        <v>THE FLASH</v>
      </c>
      <c r="C15" s="6">
        <v>45092</v>
      </c>
      <c r="D15" s="5" t="str">
        <v>WARNER</v>
      </c>
      <c r="E15" s="5" t="str">
        <v>SAM13</v>
      </c>
      <c r="F15" s="5" t="str">
        <v>FLAT</v>
      </c>
      <c r="G15" s="5" t="str">
        <v>SCOPE</v>
      </c>
      <c r="H15" s="5" t="str">
        <v>2D</v>
      </c>
      <c r="I15" s="5">
        <f>120+56</f>
        <v>176</v>
      </c>
    </row>
    <row r="16">
      <c r="A16" s="9" t="str">
        <v>INDIANA JONES 5</v>
      </c>
      <c r="B16" s="9" t="str">
        <v>INDIANA JONES 5</v>
      </c>
      <c r="C16" s="6">
        <v>45106</v>
      </c>
      <c r="D16" s="5" t="str">
        <v>BUENA VISTA</v>
      </c>
      <c r="E16" s="7" t="str">
        <v>SAM13</v>
      </c>
      <c r="F16" s="5" t="str">
        <v>FLAT</v>
      </c>
      <c r="G16" s="5" t="str">
        <v>SCOPE</v>
      </c>
      <c r="H16" s="5" t="str">
        <v>2D</v>
      </c>
      <c r="I16" s="5">
        <v>105</v>
      </c>
    </row>
    <row r="17">
      <c r="A17" s="9" t="str">
        <v>LA NOCHE DEL DEMONIO 5</v>
      </c>
      <c r="B17" s="9" t="str">
        <v xml:space="preserve">INSIDIOUS 5 </v>
      </c>
      <c r="C17" s="6">
        <v>45113</v>
      </c>
      <c r="D17" s="7" t="str">
        <v>UIP</v>
      </c>
      <c r="E17" s="7" t="str">
        <v>SAM13</v>
      </c>
      <c r="F17" s="5" t="str">
        <v>FLAT</v>
      </c>
      <c r="G17" s="5" t="str">
        <v>SCOPE</v>
      </c>
      <c r="H17" s="5" t="str">
        <v>2D</v>
      </c>
      <c r="I17" s="5">
        <f>120+40</f>
        <v>160</v>
      </c>
    </row>
    <row r="18">
      <c r="A18" s="5" t="str">
        <v xml:space="preserve">MISION IMPOSIBLE 7 </v>
      </c>
      <c r="B18" s="5" t="str">
        <v>MISSION IMPOSSIBLE 7</v>
      </c>
      <c r="C18" s="6">
        <v>45120</v>
      </c>
      <c r="D18" s="7" t="str">
        <v>UIP</v>
      </c>
      <c r="E18" s="7" t="str">
        <v>SAM13</v>
      </c>
      <c r="F18" s="5" t="str">
        <v>FLAT</v>
      </c>
      <c r="G18" s="5" t="str">
        <v>SCOPE</v>
      </c>
      <c r="H18" s="5" t="str">
        <v>2D</v>
      </c>
      <c r="I18" s="5">
        <v>130</v>
      </c>
    </row>
    <row r="19">
      <c r="A19" s="5" t="str">
        <v>OPPENHEIMER</v>
      </c>
      <c r="B19" s="5" t="str">
        <v>OPPENHEIMER</v>
      </c>
      <c r="C19" s="6">
        <v>45127</v>
      </c>
      <c r="D19" s="7" t="str">
        <v>UIP</v>
      </c>
      <c r="E19" s="7" t="str">
        <v>SAM13</v>
      </c>
      <c r="F19" s="5" t="str">
        <v>FLAT</v>
      </c>
      <c r="G19" s="5" t="str">
        <v>SCOPE</v>
      </c>
      <c r="H19" s="5" t="str">
        <v>2D</v>
      </c>
      <c r="I19" s="5">
        <v>62</v>
      </c>
    </row>
    <row r="20">
      <c r="A20" s="5" t="str">
        <v>BARBIE</v>
      </c>
      <c r="B20" s="5" t="str">
        <v>BARBIE</v>
      </c>
      <c r="C20" s="6">
        <v>45127</v>
      </c>
      <c r="D20" s="7" t="str">
        <v>WARNER</v>
      </c>
      <c r="E20" s="5" t="str">
        <v>ATP</v>
      </c>
      <c r="F20" s="5" t="str">
        <v>FLAT</v>
      </c>
      <c r="G20" s="5" t="str">
        <v>SCOPE</v>
      </c>
      <c r="H20" s="5" t="str">
        <v>2D</v>
      </c>
      <c r="I20" s="5">
        <v>76</v>
      </c>
    </row>
    <row r="21">
      <c r="A21" s="5" t="str">
        <v>MARVELS</v>
      </c>
      <c r="B21" s="5" t="str">
        <v>THE MARVELS</v>
      </c>
      <c r="C21" s="6">
        <v>45134</v>
      </c>
      <c r="D21" s="5" t="str">
        <v>BUENA VISTA</v>
      </c>
      <c r="E21" s="7" t="str">
        <v>SAM13</v>
      </c>
      <c r="F21" s="5" t="str">
        <v>FLAT</v>
      </c>
      <c r="G21" s="5" t="str">
        <v>SCOPE</v>
      </c>
      <c r="H21" s="5" t="str">
        <v>2D</v>
      </c>
    </row>
    <row r="22">
      <c r="A22" s="5" t="str">
        <v>HAUNTED MANSION</v>
      </c>
      <c r="B22" s="5" t="str">
        <v>HAUNTED MANSION</v>
      </c>
      <c r="C22" s="6">
        <v>45148</v>
      </c>
      <c r="D22" s="7" t="str">
        <v>BUENA VISTA</v>
      </c>
      <c r="E22" s="5" t="str">
        <v>ATP</v>
      </c>
      <c r="F22" s="5" t="str">
        <v>FLAT</v>
      </c>
      <c r="G22" s="5" t="str">
        <v>SCOPE</v>
      </c>
      <c r="H22" s="5" t="str">
        <v>2D</v>
      </c>
    </row>
    <row r="23">
      <c r="A23" s="5" t="str">
        <v>BLUE BEETLE</v>
      </c>
      <c r="B23" s="5" t="str">
        <v>BLUE BEETLE</v>
      </c>
      <c r="C23" s="6">
        <v>45155</v>
      </c>
      <c r="D23" s="7" t="str">
        <v>WARNER</v>
      </c>
      <c r="E23" s="7" t="str">
        <v>SAM13</v>
      </c>
      <c r="F23" s="5" t="str">
        <v>FLAT</v>
      </c>
      <c r="G23" s="5" t="str">
        <v>SCOPE</v>
      </c>
      <c r="H23" s="5" t="str">
        <v>2D</v>
      </c>
      <c r="I23" s="5">
        <f>120+40</f>
        <v>160</v>
      </c>
    </row>
    <row r="24">
      <c r="A24" s="5" t="str">
        <v>TROLLS 3</v>
      </c>
      <c r="B24" s="5" t="str">
        <v>TROLLS 3</v>
      </c>
      <c r="C24" s="6">
        <v>45211</v>
      </c>
      <c r="D24" s="7" t="str">
        <v>UIP</v>
      </c>
      <c r="E24" s="5" t="str">
        <v>ATP</v>
      </c>
      <c r="F24" s="5" t="str">
        <v>FLAT</v>
      </c>
      <c r="G24" s="5" t="str">
        <v>SCOPE</v>
      </c>
      <c r="H24" s="5" t="str">
        <v>2D</v>
      </c>
    </row>
    <row r="25">
      <c r="A25" s="5" t="str">
        <v>LOS CAMPEONES</v>
      </c>
      <c r="B25" s="5" t="str">
        <v>CHAMPIONS</v>
      </c>
      <c r="D25" s="5" t="str">
        <v>UIP</v>
      </c>
      <c r="E25" s="5" t="str">
        <v>SAM13</v>
      </c>
      <c r="F25" s="5" t="str">
        <v>FLAT</v>
      </c>
      <c r="G25" s="5" t="str">
        <v>SCOPE</v>
      </c>
      <c r="H25" s="5" t="str">
        <v>2D</v>
      </c>
      <c r="I25" s="5">
        <v>148</v>
      </c>
    </row>
    <row r="26">
      <c r="A26" s="5" t="str">
        <v>EL CIELO NO PUEDE ESPERAR</v>
      </c>
      <c r="B26" s="5" t="str">
        <v>EL CIELO NO PUEDE ESPERAR</v>
      </c>
      <c r="E26" s="5" t="str">
        <v>SAM13</v>
      </c>
      <c r="G26" s="5" t="str">
        <v>SCOPE</v>
      </c>
      <c r="H26" s="5" t="str">
        <v>2D</v>
      </c>
    </row>
    <row r="27">
      <c r="A27" s="5" t="str">
        <v>LA SUDESTADA</v>
      </c>
      <c r="B27" s="5" t="str">
        <v>LA SUDESTADA</v>
      </c>
      <c r="E27" s="5" t="str">
        <v>SAM13</v>
      </c>
      <c r="G27" s="5" t="str">
        <v>SCOPE</v>
      </c>
      <c r="H27" s="5" t="str">
        <v>2D</v>
      </c>
    </row>
    <row r="28">
      <c r="A28" s="7" t="str">
        <v>GREACE</v>
      </c>
      <c r="B28" s="7" t="str">
        <v>GREACE</v>
      </c>
      <c r="E28" s="7" t="str">
        <v>SAM13</v>
      </c>
      <c r="F28" s="7" t="str">
        <v>FLAT</v>
      </c>
      <c r="H28" s="7" t="str">
        <v>2D</v>
      </c>
    </row>
    <row r="29">
      <c r="A29" s="7" t="str">
        <v>NUESTRA BRONCA</v>
      </c>
      <c r="B29" s="7" t="str">
        <v>NUESTRA BRONCA</v>
      </c>
      <c r="D29" s="7" t="str">
        <v>INDEPENDIENTE</v>
      </c>
      <c r="E29" s="7" t="str">
        <v>SAM13</v>
      </c>
      <c r="F29" s="7" t="str">
        <v>FLAT</v>
      </c>
      <c r="G29" s="7" t="str">
        <v>SCOPE</v>
      </c>
      <c r="H29" s="7" t="str">
        <v>2D</v>
      </c>
    </row>
    <row r="30">
      <c r="A30" s="7" t="str">
        <v>ROCKY IV</v>
      </c>
      <c r="B30" s="7" t="str">
        <v>ROCKY IV</v>
      </c>
      <c r="E30" s="7" t="str">
        <v>SAM13</v>
      </c>
      <c r="F30" s="7" t="str">
        <v>FLAT</v>
      </c>
      <c r="H30" s="7" t="str">
        <v>2D</v>
      </c>
    </row>
    <row r="31">
      <c r="A31" s="7" t="str">
        <v>GANDHI</v>
      </c>
      <c r="B31" s="7" t="str">
        <v>GANDHI</v>
      </c>
      <c r="E31" s="7" t="str">
        <v>SAM13</v>
      </c>
      <c r="F31" s="7" t="str">
        <v>FLAT</v>
      </c>
      <c r="G31" s="7" t="str">
        <v>SCOPE</v>
      </c>
      <c r="H31" s="7" t="str">
        <v>2D</v>
      </c>
      <c r="I31" s="7">
        <v>75</v>
      </c>
    </row>
    <row r="32">
      <c r="A32" s="7" t="str">
        <v>LA CASA ENCANTADA EN EL CABO</v>
      </c>
      <c r="B32" s="7" t="str">
        <v>LA CASA ENCANTADA EN EL CABO</v>
      </c>
      <c r="C32" s="7">
        <v>2023</v>
      </c>
      <c r="E32" s="7" t="str">
        <v>SAM13</v>
      </c>
      <c r="F32" s="7" t="str">
        <v>FLAT</v>
      </c>
      <c r="G32" s="7" t="str">
        <v>SCOPE</v>
      </c>
      <c r="H32" s="7" t="str">
        <v>2D</v>
      </c>
      <c r="I32" s="7">
        <v>63</v>
      </c>
    </row>
    <row r="33"/>
  </sheetData>
  <mergeCells count="2">
    <mergeCell ref="B2:I2"/>
    <mergeCell ref="F4:G4"/>
  </mergeCells>
  <pageMargins left="0.7086614173228347" right="0.7086614173228347" top="0.7480314960629921" bottom="0.7480314960629921" header="0.31496062992125984" footer="0.31496062992125984"/>
  <ignoredErrors>
    <ignoredError numberStoredAsText="1" sqref="A1:I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204"/>
  <sheetViews>
    <sheetView workbookViewId="0" rightToLeft="0"/>
  </sheetViews>
  <cols>
    <col min="1" max="1" customWidth="1" width="2.140625"/>
    <col min="2" max="2" customWidth="1" width="12.42578125"/>
    <col min="3" max="3" customWidth="1" width="48.85546875"/>
    <col min="4" max="4" customWidth="1" width="9.140625"/>
    <col min="5" max="5" customWidth="1" width="12.85546875"/>
    <col min="6" max="6" customWidth="1" width="11.28515625"/>
    <col min="7" max="7" customWidth="1" width="50.140625"/>
    <col min="8" max="8" customWidth="1" width="9.5703125"/>
    <col min="9" max="9" customWidth="1" width="14"/>
    <col min="10" max="10" customWidth="1" width="12.85546875"/>
    <col min="11" max="11" customWidth="1" width="50.140625"/>
    <col min="12" max="12" customWidth="1" width="9.5703125"/>
    <col min="13" max="13" customWidth="1" width="13"/>
    <col min="15" max="15" customWidth="1" width="47.7109375"/>
    <col min="18" max="18" customWidth="1" width="12"/>
    <col min="19" max="19" customWidth="1" width="43.140625"/>
    <col min="20" max="20" customWidth="1" width="10.5703125"/>
    <col min="21" max="21" customWidth="1" width="11.140625"/>
    <col min="23" max="23" customWidth="1" width="38.140625"/>
    <col min="26" max="26" customWidth="1" width="12"/>
    <col min="27" max="27" customWidth="1" width="41.5703125"/>
  </cols>
  <sheetData>
    <row r="1"/>
    <row r="2">
      <c r="B2" s="7" t="str">
        <v>…:::PLANILLA DE TRAILERS Y PUBLICIDADES:::...</v>
      </c>
    </row>
    <row r="3"/>
    <row r="4" ht="15.75" customHeight="1"/>
    <row r="5" ht="15" customHeight="1">
      <c r="C5" s="7" t="str">
        <v>Responsable de programacion:</v>
      </c>
      <c r="D5" s="7" t="str">
        <v xml:space="preserve"> M. Sucovsky - J. Rodriguez - F. Castillo</v>
      </c>
    </row>
    <row r="6" ht="15" customHeight="1">
      <c r="G6" s="7" t="str">
        <v>COMPLEJO:</v>
      </c>
      <c r="H6" s="7">
        <v>2004</v>
      </c>
    </row>
    <row r="7" ht="15" customHeight="1">
      <c r="C7" s="7" t="str">
        <v>Fecha de exhibicion:</v>
      </c>
      <c r="D7" s="10" t="str">
        <v>23/07/2025 al 30/02/2025</v>
      </c>
    </row>
    <row r="8" ht="15" customHeight="1"/>
    <row r="9" ht="15" customHeight="1">
      <c r="B9" s="3" t="str">
        <v>SALA 1</v>
      </c>
    </row>
    <row r="10" ht="15" customHeight="1">
      <c r="B10" s="11" t="str">
        <v>Pelicula 1</v>
      </c>
      <c r="C10" s="11" t="str">
        <v>TEST MOVIE STYLE</v>
      </c>
      <c r="F10" s="11" t="str">
        <v>Pelicula 2</v>
      </c>
      <c r="G10" s="11" t="str">
        <v>Txt moa con in japan live viewing sub (AC)</v>
      </c>
      <c r="J10" s="11" t="str">
        <v>Pelicula 3</v>
      </c>
      <c r="K10" s="11" t="str">
        <v>El diablo viste a la moda cas (R)</v>
      </c>
      <c r="N10" s="11" t="str">
        <v>Pelicula 4</v>
      </c>
      <c r="O10" s="11" t="str">
        <v>El diablo viste a la moda sub (R)</v>
      </c>
      <c r="R10" s="11" t="str">
        <v>Pelicula 5</v>
      </c>
      <c r="V10" s="11" t="str">
        <v>Pelicula 6</v>
      </c>
    </row>
    <row r="11" ht="15" customHeight="1">
      <c r="C11" s="11" t="str">
        <v>Trailer</v>
      </c>
      <c r="D11" s="11" t="str">
        <v>cantidad</v>
      </c>
      <c r="E11" s="11" t="str">
        <v>Duracion</v>
      </c>
      <c r="G11" s="11" t="str">
        <v>Trailer</v>
      </c>
      <c r="H11" s="11" t="str">
        <v>cantidad</v>
      </c>
      <c r="I11" s="11" t="str">
        <v>Duracion</v>
      </c>
      <c r="K11" s="11" t="str">
        <v>Trailer</v>
      </c>
      <c r="L11" s="11" t="str">
        <v>cantidad</v>
      </c>
      <c r="M11" s="11" t="str">
        <v>Duracion</v>
      </c>
      <c r="O11" s="11" t="str">
        <v>Trailer</v>
      </c>
      <c r="P11" s="11" t="str">
        <v>cantidad</v>
      </c>
      <c r="Q11" s="11" t="str">
        <v>Duracion</v>
      </c>
      <c r="S11" s="11" t="str">
        <v>Trailer</v>
      </c>
      <c r="T11" s="11" t="str">
        <v>cantidad</v>
      </c>
      <c r="U11" s="11" t="str">
        <v>Duracion</v>
      </c>
      <c r="W11" s="11" t="str">
        <v>Trailer</v>
      </c>
      <c r="X11" s="11" t="str">
        <v>cantidad</v>
      </c>
      <c r="Y11" s="11" t="str">
        <v>Duracion</v>
      </c>
    </row>
    <row r="12" ht="15" customHeight="1">
      <c r="B12" s="3" t="str">
        <v>Cola #4</v>
      </c>
      <c r="C12" s="5" t="str">
        <v>Spot Mandalorian &amp; Grogu</v>
      </c>
      <c r="D12" s="12">
        <v>1</v>
      </c>
      <c r="F12" s="3" t="str">
        <v>Cola #4</v>
      </c>
      <c r="H12" s="12">
        <v>1</v>
      </c>
      <c r="J12" s="3" t="str">
        <v>Cola #4</v>
      </c>
      <c r="K12" s="5" t="str">
        <v>R-13</v>
      </c>
      <c r="L12" s="12">
        <v>1</v>
      </c>
      <c r="N12" s="3" t="str">
        <v>Cola #4</v>
      </c>
      <c r="O12" s="5" t="str">
        <v>R-13</v>
      </c>
      <c r="P12" s="12">
        <v>1</v>
      </c>
      <c r="R12" s="3" t="str">
        <v>Cola #4</v>
      </c>
      <c r="T12" s="12">
        <v>1</v>
      </c>
      <c r="V12" s="3" t="str">
        <v>Cola #4</v>
      </c>
      <c r="X12" s="12">
        <v>1</v>
      </c>
    </row>
    <row r="13" ht="15" customHeight="1">
      <c r="B13" s="3" t="str">
        <v>Cola #3</v>
      </c>
      <c r="C13" s="5" t="str">
        <v>Yo Narciso (G)</v>
      </c>
      <c r="D13" s="12">
        <v>1</v>
      </c>
      <c r="F13" s="3" t="str">
        <v>Cola #3</v>
      </c>
      <c r="H13" s="12">
        <v>1</v>
      </c>
      <c r="J13" s="3" t="str">
        <v>Cola #3</v>
      </c>
      <c r="K13" s="5" t="str">
        <v>Spot Mandalorian &amp; Grogu</v>
      </c>
      <c r="L13" s="12">
        <v>1</v>
      </c>
      <c r="N13" s="3" t="str">
        <v>Cola #3</v>
      </c>
      <c r="O13" s="5" t="str">
        <v>Spot Mandalorian &amp; Grogu</v>
      </c>
      <c r="P13" s="12">
        <v>1</v>
      </c>
      <c r="R13" s="3" t="str">
        <v>Cola #3</v>
      </c>
      <c r="T13" s="12">
        <v>1</v>
      </c>
      <c r="V13" s="3" t="str">
        <v>Cola #3</v>
      </c>
      <c r="X13" s="12">
        <v>1</v>
      </c>
    </row>
    <row r="14" ht="15" customHeight="1">
      <c r="B14" s="3" t="str">
        <v>Cola #2</v>
      </c>
      <c r="C14" s="5" t="str">
        <v>El dia de la revelacion (R-13)</v>
      </c>
      <c r="D14" s="12">
        <v>1</v>
      </c>
      <c r="F14" s="3" t="str">
        <v>Cola #2</v>
      </c>
      <c r="H14" s="12">
        <v>1</v>
      </c>
      <c r="J14" s="3" t="str">
        <v>Cola #2</v>
      </c>
      <c r="K14" s="5" t="str">
        <v>Yo, Narciso (G)</v>
      </c>
      <c r="L14" s="12">
        <v>1</v>
      </c>
      <c r="N14" s="3" t="str">
        <v>Cola #2</v>
      </c>
      <c r="O14" s="5" t="str">
        <v>Yo, Narciso (G)</v>
      </c>
      <c r="P14" s="12">
        <v>1</v>
      </c>
      <c r="R14" s="3" t="str">
        <v>Cola #2</v>
      </c>
      <c r="T14" s="12">
        <v>1</v>
      </c>
      <c r="V14" s="3" t="str">
        <v>Cola #2</v>
      </c>
      <c r="X14" s="12">
        <v>1</v>
      </c>
    </row>
    <row r="15" ht="15" customHeight="1">
      <c r="B15" s="3" t="str">
        <v>Cola #1</v>
      </c>
      <c r="C15" s="5" t="str">
        <v>La odisea (G)</v>
      </c>
      <c r="D15" s="12">
        <v>1</v>
      </c>
      <c r="F15" s="3" t="str">
        <v>Cola #1</v>
      </c>
      <c r="H15" s="12">
        <v>1</v>
      </c>
      <c r="J15" s="3" t="str">
        <v>Cola #1</v>
      </c>
      <c r="K15" s="5" t="str">
        <v>Supergirl (SP)</v>
      </c>
      <c r="L15" s="12">
        <v>1</v>
      </c>
      <c r="N15" s="3" t="str">
        <v>Cola #1</v>
      </c>
      <c r="O15" s="5" t="str">
        <v>Supergirl (SP)</v>
      </c>
      <c r="P15" s="12">
        <v>1</v>
      </c>
      <c r="R15" s="3" t="str">
        <v>Cola #1</v>
      </c>
      <c r="T15" s="12">
        <v>1</v>
      </c>
      <c r="V15" s="3" t="str">
        <v>Cola #1</v>
      </c>
      <c r="X15" s="12">
        <v>1</v>
      </c>
    </row>
    <row r="16" ht="15" customHeight="1">
      <c r="K16" s="5" t="str">
        <v>La odisea (G)</v>
      </c>
      <c r="O16" s="5" t="str">
        <v>La odisea (G)</v>
      </c>
    </row>
    <row r="17" ht="15" customHeight="1">
      <c r="C17" s="5" t="str">
        <v>Total tiempo de Trailers</v>
      </c>
      <c r="D17" s="12">
        <f>SUM(D12:D15)</f>
        <v>4</v>
      </c>
      <c r="E17" s="13">
        <f>SUM(E12:E16)</f>
        <v>0</v>
      </c>
      <c r="G17" s="5" t="str">
        <v>Total tiempo de Trailers</v>
      </c>
      <c r="H17" s="12">
        <f>SUM(H12:H15)</f>
        <v>4</v>
      </c>
      <c r="I17" s="13">
        <f>SUM(I12:I16)</f>
        <v>0</v>
      </c>
      <c r="K17" s="5" t="str">
        <v>Total tiempo de Trailers</v>
      </c>
      <c r="L17" s="12">
        <f>SUM(L12:L15)</f>
        <v>4</v>
      </c>
      <c r="M17" s="13">
        <f>SUM(M12:M16)</f>
        <v>0</v>
      </c>
      <c r="O17" s="5" t="str">
        <v>Total tiempo de Trailers</v>
      </c>
      <c r="P17" s="12">
        <f>SUM(P12:P15)</f>
        <v>4</v>
      </c>
      <c r="Q17" s="13">
        <f>SUM(Q12:Q16)</f>
        <v>0</v>
      </c>
      <c r="S17" s="5" t="str">
        <v>Total tiempo de Trailers</v>
      </c>
      <c r="T17" s="12">
        <f>SUM(T12:T15)</f>
        <v>4</v>
      </c>
      <c r="U17" s="13">
        <f>SUM(U12:U16)</f>
        <v>0</v>
      </c>
      <c r="W17" s="5" t="str">
        <v>Total tiempo de Trailers</v>
      </c>
      <c r="X17" s="12">
        <f>SUM(X12:X15)</f>
        <v>4</v>
      </c>
      <c r="Y17" s="13">
        <f>SUM(Y12:Y16)</f>
        <v>0</v>
      </c>
    </row>
    <row r="18" ht="15" customHeight="1">
      <c r="C18" s="3" t="str">
        <v>Publicidades + Institucionales</v>
      </c>
      <c r="G18" s="3" t="str">
        <v>Publicidades + Institucionales</v>
      </c>
      <c r="K18" s="3" t="str">
        <v>Publicidades + Institucionales</v>
      </c>
      <c r="O18" s="3" t="str">
        <v>Publicidades + Institucionales</v>
      </c>
      <c r="S18" s="3" t="str">
        <v>Publicidades + Institucionales</v>
      </c>
      <c r="W18" s="3" t="str">
        <v>Publicidades + Institucionales</v>
      </c>
    </row>
    <row r="19" ht="15" customHeight="1">
      <c r="C19" s="3" t="str">
        <v>Duracion Total trailers + Publicidades</v>
      </c>
      <c r="E19" s="12">
        <f>SUM(E17:E18)</f>
        <v>0</v>
      </c>
      <c r="G19" s="3" t="str">
        <v>Duracion Total trailers + Publicidades</v>
      </c>
      <c r="I19" s="12">
        <f>SUM(I17:I18)</f>
        <v>0</v>
      </c>
      <c r="K19" s="3" t="str">
        <v>Duracion Total trailers + Publicidades</v>
      </c>
      <c r="O19" s="3" t="str">
        <v>Duracion Total trailers + Publicidades</v>
      </c>
      <c r="Q19" s="12">
        <f>SUM(Q17:Q18)</f>
        <v>0</v>
      </c>
      <c r="S19" s="3" t="str">
        <v>Duracion Total trailers + Publicidades</v>
      </c>
      <c r="U19" s="12">
        <f>SUM(U17:U18)</f>
        <v>0</v>
      </c>
      <c r="W19" s="3" t="str">
        <v>Duracion Total trailers + Publicidades</v>
      </c>
      <c r="Y19" s="12">
        <f>SUM(Y17:Y18)</f>
        <v>0</v>
      </c>
    </row>
    <row r="20" ht="15" customHeight="1">
      <c r="C20" s="3" t="str">
        <v>MINUTOS</v>
      </c>
      <c r="E20" s="14">
        <f>E19/60</f>
        <v>0</v>
      </c>
      <c r="G20" s="3" t="str">
        <v>MINUTOS</v>
      </c>
      <c r="I20" s="14">
        <f>I19/60</f>
        <v>0</v>
      </c>
      <c r="K20" s="3" t="str">
        <v>MINUTOS</v>
      </c>
      <c r="M20" s="14">
        <f>M19/60</f>
        <v>0</v>
      </c>
      <c r="O20" s="3" t="str">
        <v>MINUTOS</v>
      </c>
      <c r="Q20" s="14">
        <f>Q19/60</f>
        <v>0</v>
      </c>
      <c r="S20" s="3" t="str">
        <v>MINUTOS</v>
      </c>
      <c r="U20" s="14">
        <f>U19/60</f>
        <v>0</v>
      </c>
      <c r="W20" s="3" t="str">
        <v>MINUTOS</v>
      </c>
      <c r="Y20" s="14">
        <f>Y19/60</f>
        <v>0</v>
      </c>
    </row>
    <row r="21" ht="15" customHeight="1"/>
    <row r="22" ht="15" customHeight="1">
      <c r="B22" s="3" t="str">
        <v>SALA 2</v>
      </c>
    </row>
    <row r="23" ht="15" customHeight="1">
      <c r="B23" s="11" t="str">
        <v>Pelicula 1</v>
      </c>
      <c r="C23" s="11" t="str">
        <v>The mandalorian and grogu 3d sub (R)</v>
      </c>
      <c r="F23" s="11" t="str">
        <v>Pelicula 2</v>
      </c>
      <c r="G23" s="11" t="str">
        <v>The mandalorian and grogu sub (R)</v>
      </c>
      <c r="J23" s="11" t="str">
        <v>Pelicula 3</v>
      </c>
      <c r="N23" s="11" t="str">
        <v>Pelicula 4</v>
      </c>
      <c r="R23" s="11" t="str">
        <v>Pelicula 5</v>
      </c>
      <c r="V23" s="11" t="str">
        <v>Pelicula 6</v>
      </c>
    </row>
    <row r="24" ht="15" customHeight="1">
      <c r="A24" s="5">
        <v>7</v>
      </c>
      <c r="C24" s="11" t="str">
        <v>Trailer</v>
      </c>
      <c r="D24" s="11" t="str">
        <v>cantidad</v>
      </c>
      <c r="E24" s="11" t="str">
        <v>Duracion</v>
      </c>
      <c r="G24" s="11" t="str">
        <v>Trailer</v>
      </c>
      <c r="H24" s="11" t="str">
        <v>cantidad</v>
      </c>
      <c r="I24" s="11" t="str">
        <v>Duracion</v>
      </c>
      <c r="K24" s="11" t="str">
        <v>Trailer</v>
      </c>
      <c r="L24" s="11" t="str">
        <v>cantidad</v>
      </c>
      <c r="M24" s="11" t="str">
        <v>Duracion</v>
      </c>
      <c r="O24" s="11" t="str">
        <v>Trailer</v>
      </c>
      <c r="P24" s="11" t="str">
        <v>cantidad</v>
      </c>
      <c r="Q24" s="11" t="str">
        <v>Duracion</v>
      </c>
      <c r="S24" s="11" t="str">
        <v>Trailer</v>
      </c>
      <c r="T24" s="11" t="str">
        <v>cantidad</v>
      </c>
      <c r="U24" s="11" t="str">
        <v>Duracion</v>
      </c>
      <c r="W24" s="11" t="str">
        <v>Trailer</v>
      </c>
      <c r="X24" s="11" t="str">
        <v>cantidad</v>
      </c>
      <c r="Y24" s="11" t="str">
        <v>Duracion</v>
      </c>
    </row>
    <row r="25" ht="15" customHeight="1">
      <c r="B25" s="3" t="str">
        <v>Cola #4</v>
      </c>
      <c r="C25" s="5" t="str">
        <v>Spot Mandalorian &amp; Grogu</v>
      </c>
      <c r="D25" s="12">
        <v>1</v>
      </c>
      <c r="F25" s="3" t="str">
        <v>Cola #4</v>
      </c>
      <c r="G25" s="5" t="str">
        <v>Spot Mandalorian &amp; Grogu</v>
      </c>
      <c r="H25" s="12">
        <v>1</v>
      </c>
      <c r="J25" s="3" t="str">
        <v>Cola #4</v>
      </c>
      <c r="L25" s="12">
        <v>1</v>
      </c>
      <c r="N25" s="3" t="str">
        <v>Cola #4</v>
      </c>
      <c r="P25" s="12">
        <v>1</v>
      </c>
      <c r="R25" s="3" t="str">
        <v>Cola #4</v>
      </c>
      <c r="T25" s="12">
        <v>1</v>
      </c>
      <c r="V25" s="3" t="str">
        <v>Cola #4</v>
      </c>
      <c r="X25" s="12">
        <v>1</v>
      </c>
    </row>
    <row r="26" ht="15" customHeight="1">
      <c r="B26" s="3" t="str">
        <v>Cola #3</v>
      </c>
      <c r="C26" s="5" t="str">
        <v>Contenido exclusivo Mandalorian &amp; Grogu</v>
      </c>
      <c r="D26" s="12">
        <v>1</v>
      </c>
      <c r="F26" s="3" t="str">
        <v>Cola #3</v>
      </c>
      <c r="G26" s="5" t="str">
        <v>Contenido exclusivo Mandalorian &amp; Grogu</v>
      </c>
      <c r="H26" s="12">
        <v>1</v>
      </c>
      <c r="J26" s="3" t="str">
        <v>Cola #3</v>
      </c>
      <c r="L26" s="12">
        <v>1</v>
      </c>
      <c r="N26" s="3" t="str">
        <v>Cola #3</v>
      </c>
      <c r="P26" s="12">
        <v>1</v>
      </c>
      <c r="R26" s="3" t="str">
        <v>Cola #3</v>
      </c>
      <c r="T26" s="12">
        <v>1</v>
      </c>
      <c r="V26" s="3" t="str">
        <v>Cola #3</v>
      </c>
      <c r="X26" s="12">
        <v>1</v>
      </c>
    </row>
    <row r="27" ht="15" customHeight="1">
      <c r="B27" s="3" t="str">
        <v>Cola #2</v>
      </c>
      <c r="C27" s="5" t="str">
        <v>Toy Story 5 (G)</v>
      </c>
      <c r="D27" s="12">
        <v>1</v>
      </c>
      <c r="F27" s="3" t="str">
        <v>Cola #2</v>
      </c>
      <c r="G27" s="5" t="str">
        <v>Toy Story 5 (G)</v>
      </c>
      <c r="H27" s="12">
        <v>1</v>
      </c>
      <c r="J27" s="3" t="str">
        <v>Cola #2</v>
      </c>
      <c r="L27" s="12">
        <v>1</v>
      </c>
      <c r="N27" s="3" t="str">
        <v>Cola #2</v>
      </c>
      <c r="P27" s="12">
        <v>1</v>
      </c>
      <c r="R27" s="3" t="str">
        <v>Cola #2</v>
      </c>
      <c r="T27" s="12">
        <v>1</v>
      </c>
      <c r="V27" s="3" t="str">
        <v>Cola #2</v>
      </c>
      <c r="X27" s="12">
        <v>1</v>
      </c>
    </row>
    <row r="28" ht="15" customHeight="1">
      <c r="B28" s="3" t="str">
        <v>Cola #1</v>
      </c>
      <c r="C28" s="5" t="str">
        <v>Spiderman: un nuevo dia (G)</v>
      </c>
      <c r="D28" s="12">
        <v>1</v>
      </c>
      <c r="F28" s="3" t="str">
        <v>Cola #1</v>
      </c>
      <c r="G28" s="5" t="str">
        <v>Spiderman: un nuevo dia (G)</v>
      </c>
      <c r="H28" s="12">
        <v>1</v>
      </c>
      <c r="J28" s="3" t="str">
        <v>Cola #1</v>
      </c>
      <c r="L28" s="12">
        <v>1</v>
      </c>
      <c r="N28" s="3" t="str">
        <v>Cola #1</v>
      </c>
      <c r="P28" s="12">
        <v>1</v>
      </c>
      <c r="R28" s="3" t="str">
        <v>Cola #1</v>
      </c>
      <c r="T28" s="12">
        <v>1</v>
      </c>
      <c r="V28" s="3" t="str">
        <v>Cola #1</v>
      </c>
      <c r="X28" s="12">
        <v>1</v>
      </c>
    </row>
    <row r="29" ht="15" customHeight="1"/>
    <row r="30" ht="15" customHeight="1">
      <c r="C30" s="5" t="str">
        <v>Total tiempo de Trailers</v>
      </c>
      <c r="D30" s="12">
        <f>SUM(D25:D28)</f>
        <v>4</v>
      </c>
      <c r="E30" s="13">
        <f>SUM(E25:E29)</f>
        <v>0</v>
      </c>
      <c r="G30" s="5" t="str">
        <v>Total tiempo de Trailers</v>
      </c>
      <c r="H30" s="12">
        <f>SUM(H25:H28)</f>
        <v>4</v>
      </c>
      <c r="I30" s="13">
        <f>SUM(I25:I29)</f>
        <v>0</v>
      </c>
      <c r="K30" s="5" t="str">
        <v>Total tiempo de Trailers</v>
      </c>
      <c r="L30" s="12">
        <f>SUM(L25:L28)</f>
        <v>4</v>
      </c>
      <c r="M30" s="13">
        <f>SUM(M25:M29)</f>
        <v>0</v>
      </c>
      <c r="O30" s="5" t="str">
        <v>Total tiempo de Trailers</v>
      </c>
      <c r="P30" s="12">
        <f>SUM(P25:P28)</f>
        <v>4</v>
      </c>
      <c r="Q30" s="13">
        <f>SUM(Q25:Q29)</f>
        <v>0</v>
      </c>
      <c r="S30" s="5" t="str">
        <v>Total tiempo de Trailers</v>
      </c>
      <c r="T30" s="12">
        <f>SUM(T25:T28)</f>
        <v>4</v>
      </c>
      <c r="U30" s="13">
        <f>SUM(U25:U29)</f>
        <v>0</v>
      </c>
      <c r="W30" s="5" t="str">
        <v>Total tiempo de Trailers</v>
      </c>
      <c r="X30" s="12">
        <f>SUM(X25:X28)</f>
        <v>4</v>
      </c>
      <c r="Y30" s="13">
        <f>SUM(Y25:Y29)</f>
        <v>0</v>
      </c>
    </row>
    <row r="31" ht="15" customHeight="1">
      <c r="C31" s="3" t="str">
        <v>Publicidades + Institucionales</v>
      </c>
      <c r="G31" s="3" t="str">
        <v>Publicidades + Institucionales</v>
      </c>
      <c r="K31" s="3" t="str">
        <v>Publicidades + Institucionales</v>
      </c>
      <c r="O31" s="3" t="str">
        <v>Publicidades + Institucionales</v>
      </c>
      <c r="S31" s="3" t="str">
        <v>Publicidades + Institucionales</v>
      </c>
      <c r="W31" s="3" t="str">
        <v>Publicidades + Institucionales</v>
      </c>
    </row>
    <row r="32" ht="15" customHeight="1">
      <c r="C32" s="3" t="str">
        <v>Duracion Total trailers + Publicidades</v>
      </c>
      <c r="E32" s="12">
        <f>SUM(E30:E31)</f>
        <v>0</v>
      </c>
      <c r="G32" s="3" t="str">
        <v>Duracion Total trailers + Publicidades</v>
      </c>
      <c r="I32" s="12">
        <f>SUM(I30:I31)</f>
        <v>0</v>
      </c>
      <c r="K32" s="3" t="str">
        <v>Duracion Total trailers + Publicidades</v>
      </c>
      <c r="O32" s="3" t="str">
        <v>Duracion Total trailers + Publicidades</v>
      </c>
      <c r="Q32" s="12">
        <f>SUM(Q30:Q31)</f>
        <v>0</v>
      </c>
      <c r="S32" s="3" t="str">
        <v>Duracion Total trailers + Publicidades</v>
      </c>
      <c r="U32" s="12">
        <f>SUM(U30:U31)</f>
        <v>0</v>
      </c>
      <c r="W32" s="3" t="str">
        <v>Duracion Total trailers + Publicidades</v>
      </c>
      <c r="Y32" s="12">
        <f>SUM(Y30:Y31)</f>
        <v>0</v>
      </c>
    </row>
    <row r="33" ht="15" customHeight="1">
      <c r="C33" s="3" t="str">
        <v>MINUTOS</v>
      </c>
      <c r="E33" s="14">
        <f>E32/60</f>
        <v>0</v>
      </c>
      <c r="G33" s="3" t="str">
        <v>MINUTOS</v>
      </c>
      <c r="I33" s="14">
        <f>I32/60</f>
        <v>0</v>
      </c>
      <c r="K33" s="3" t="str">
        <v>MINUTOS</v>
      </c>
      <c r="M33" s="14">
        <f>M32/60</f>
        <v>0</v>
      </c>
      <c r="O33" s="3" t="str">
        <v>MINUTOS</v>
      </c>
      <c r="Q33" s="14">
        <f>Q32/60</f>
        <v>0</v>
      </c>
      <c r="S33" s="3" t="str">
        <v>MINUTOS</v>
      </c>
      <c r="U33" s="14">
        <f>U32/60</f>
        <v>0</v>
      </c>
      <c r="W33" s="3" t="str">
        <v>MINUTOS</v>
      </c>
      <c r="Y33" s="14">
        <f>Y32/60</f>
        <v>0</v>
      </c>
    </row>
    <row r="34" ht="15" customHeight="1"/>
    <row r="35" ht="15" customHeight="1">
      <c r="B35" s="3" t="str">
        <v>SALA 3</v>
      </c>
    </row>
    <row r="36" ht="15" customHeight="1">
      <c r="B36" s="11" t="str">
        <v>Pelicula 1</v>
      </c>
      <c r="C36" s="11" t="str">
        <v>Michael cas (R)</v>
      </c>
      <c r="F36" s="11" t="str">
        <v>Pelicula 2</v>
      </c>
      <c r="G36" s="11" t="str">
        <v>Michael sub (R)</v>
      </c>
      <c r="J36" s="11" t="str">
        <v>Pelicula 3</v>
      </c>
      <c r="K36" s="11" t="str">
        <v>El pasajero del diablo cas</v>
      </c>
      <c r="N36" s="11" t="str">
        <v>Pelicula 4</v>
      </c>
      <c r="R36" s="11" t="str">
        <v>Pelicula 5</v>
      </c>
      <c r="V36" s="11" t="str">
        <v>Pelicula 6</v>
      </c>
    </row>
    <row r="37" ht="15" customHeight="1">
      <c r="C37" s="11" t="str">
        <v>Trailer</v>
      </c>
      <c r="D37" s="11" t="str">
        <v>cantidad</v>
      </c>
      <c r="E37" s="11" t="str">
        <v>Duracion</v>
      </c>
      <c r="G37" s="11" t="str">
        <v>Trailer</v>
      </c>
      <c r="H37" s="11" t="str">
        <v>cantidad</v>
      </c>
      <c r="I37" s="11" t="str">
        <v>Duracion</v>
      </c>
      <c r="K37" s="11" t="str">
        <v>Trailer</v>
      </c>
      <c r="L37" s="11" t="str">
        <v>cantidad</v>
      </c>
      <c r="M37" s="11" t="str">
        <v>Duracion</v>
      </c>
      <c r="O37" s="11" t="str">
        <v>Trailer</v>
      </c>
      <c r="P37" s="11" t="str">
        <v>cantidad</v>
      </c>
      <c r="Q37" s="11" t="str">
        <v>Duracion</v>
      </c>
      <c r="S37" s="11" t="str">
        <v>Trailer</v>
      </c>
      <c r="T37" s="11" t="str">
        <v>cantidad</v>
      </c>
      <c r="U37" s="11" t="str">
        <v>Duracion</v>
      </c>
      <c r="W37" s="11" t="str">
        <v>Trailer</v>
      </c>
      <c r="X37" s="11" t="str">
        <v>cantidad</v>
      </c>
      <c r="Y37" s="11" t="str">
        <v>Duracion</v>
      </c>
    </row>
    <row r="38" ht="15" customHeight="1">
      <c r="B38" s="3" t="str">
        <v>Cola #4</v>
      </c>
      <c r="C38" s="5" t="str">
        <v>Spot Mandalorian &amp; Grogu</v>
      </c>
      <c r="D38" s="12">
        <v>1</v>
      </c>
      <c r="F38" s="3" t="str">
        <v>Cola #4</v>
      </c>
      <c r="G38" s="5" t="str">
        <v>Spot Mandalorian &amp; Grogu</v>
      </c>
      <c r="H38" s="12">
        <v>1</v>
      </c>
      <c r="J38" s="3" t="str">
        <v>Cola #4</v>
      </c>
      <c r="K38" s="5" t="str">
        <v>Spot Mandalorian &amp; Grogu</v>
      </c>
      <c r="L38" s="12">
        <v>1</v>
      </c>
      <c r="N38" s="3" t="str">
        <v>Cola #4</v>
      </c>
      <c r="P38" s="12">
        <v>1</v>
      </c>
      <c r="R38" s="3" t="str">
        <v>Cola #4</v>
      </c>
      <c r="T38" s="12">
        <v>1</v>
      </c>
      <c r="V38" s="3" t="str">
        <v>Cola #4</v>
      </c>
      <c r="X38" s="12">
        <v>1</v>
      </c>
    </row>
    <row r="39" ht="15" customHeight="1">
      <c r="B39" s="3" t="str">
        <v>Cola #3</v>
      </c>
      <c r="C39" s="5" t="str">
        <v>Yo Narciso (G)</v>
      </c>
      <c r="D39" s="12">
        <v>1</v>
      </c>
      <c r="F39" s="3" t="str">
        <v>Cola #3</v>
      </c>
      <c r="G39" s="5" t="str">
        <v>Yo Narciso (G)</v>
      </c>
      <c r="H39" s="12">
        <v>1</v>
      </c>
      <c r="J39" s="3" t="str">
        <v>Cola #3</v>
      </c>
      <c r="K39" s="5" t="str">
        <v>Dolly (R-13)</v>
      </c>
      <c r="L39" s="12">
        <v>1</v>
      </c>
      <c r="N39" s="3" t="str">
        <v>Cola #3</v>
      </c>
      <c r="P39" s="12">
        <v>1</v>
      </c>
      <c r="R39" s="3" t="str">
        <v>Cola #3</v>
      </c>
      <c r="T39" s="12">
        <v>1</v>
      </c>
      <c r="V39" s="3" t="str">
        <v>Cola #3</v>
      </c>
      <c r="X39" s="12">
        <v>1</v>
      </c>
    </row>
    <row r="40" ht="15" customHeight="1">
      <c r="A40" s="5" t="str">
        <v xml:space="preserve"> </v>
      </c>
      <c r="B40" s="3" t="str">
        <v>Cola #2</v>
      </c>
      <c r="C40" s="5" t="str">
        <v>El dia de la revelacion (R-13)</v>
      </c>
      <c r="D40" s="12">
        <v>1</v>
      </c>
      <c r="F40" s="3" t="str">
        <v>Cola #2</v>
      </c>
      <c r="G40" s="5" t="str">
        <v>El dia de la revelacion (R-13)</v>
      </c>
      <c r="H40" s="12">
        <v>1</v>
      </c>
      <c r="J40" s="3" t="str">
        <v>Cola #2</v>
      </c>
      <c r="K40" s="5" t="str">
        <v>La odisea (G)</v>
      </c>
      <c r="L40" s="12">
        <v>1</v>
      </c>
      <c r="N40" s="3" t="str">
        <v>Cola #2</v>
      </c>
      <c r="P40" s="12">
        <v>1</v>
      </c>
      <c r="R40" s="3" t="str">
        <v>Cola #2</v>
      </c>
      <c r="T40" s="12">
        <v>1</v>
      </c>
      <c r="V40" s="3" t="str">
        <v>Cola #2</v>
      </c>
      <c r="X40" s="12">
        <v>1</v>
      </c>
    </row>
    <row r="41" ht="15" customHeight="1">
      <c r="B41" s="3" t="str">
        <v>Cola #1</v>
      </c>
      <c r="C41" s="5" t="str">
        <v>La odisea (G)</v>
      </c>
      <c r="D41" s="12">
        <v>1</v>
      </c>
      <c r="F41" s="3" t="str">
        <v>Cola #1</v>
      </c>
      <c r="G41" s="5" t="str">
        <v>La odisea (G)</v>
      </c>
      <c r="H41" s="12">
        <v>1</v>
      </c>
      <c r="J41" s="3" t="str">
        <v>Cola #1</v>
      </c>
      <c r="K41" s="5" t="str">
        <v>El dia de la revelacion (R-13)</v>
      </c>
      <c r="L41" s="12">
        <v>1</v>
      </c>
      <c r="N41" s="3" t="str">
        <v>Cola #1</v>
      </c>
      <c r="P41" s="12">
        <v>1</v>
      </c>
      <c r="R41" s="3" t="str">
        <v>Cola #1</v>
      </c>
      <c r="T41" s="12">
        <v>1</v>
      </c>
      <c r="V41" s="3" t="str">
        <v>Cola #1</v>
      </c>
      <c r="X41" s="12">
        <v>1</v>
      </c>
    </row>
    <row r="42" ht="15" customHeight="1"/>
    <row r="43" ht="15" customHeight="1">
      <c r="C43" s="5" t="str">
        <v>Total tiempo de Trailers</v>
      </c>
      <c r="D43" s="12">
        <f>SUM(D38:D41)</f>
        <v>4</v>
      </c>
      <c r="E43" s="13">
        <f>SUM(E38:E42)</f>
        <v>0</v>
      </c>
      <c r="G43" s="5" t="str">
        <v>Total tiempo de Trailers</v>
      </c>
      <c r="H43" s="12">
        <f>SUM(H38:H41)</f>
        <v>4</v>
      </c>
      <c r="I43" s="13">
        <f>SUM(I38:I42)</f>
        <v>0</v>
      </c>
      <c r="K43" s="5" t="str">
        <v>Total tiempo de Trailers</v>
      </c>
      <c r="L43" s="12">
        <f>SUM(L38:L41)</f>
        <v>4</v>
      </c>
      <c r="M43" s="13">
        <f>SUM(M38:M42)</f>
        <v>0</v>
      </c>
      <c r="O43" s="5" t="str">
        <v>Total tiempo de Trailers</v>
      </c>
      <c r="P43" s="12">
        <f>SUM(P38:P41)</f>
        <v>4</v>
      </c>
      <c r="Q43" s="13">
        <f>SUM(Q38:Q42)</f>
        <v>0</v>
      </c>
      <c r="S43" s="5" t="str">
        <v>Total tiempo de Trailers</v>
      </c>
      <c r="T43" s="12">
        <f>SUM(T38:T41)</f>
        <v>4</v>
      </c>
      <c r="U43" s="13">
        <f>SUM(U38:U42)</f>
        <v>0</v>
      </c>
      <c r="W43" s="5" t="str">
        <v>Total tiempo de Trailers</v>
      </c>
      <c r="X43" s="12">
        <f>SUM(X38:X41)</f>
        <v>4</v>
      </c>
      <c r="Y43" s="13">
        <f>SUM(Y38:Y42)</f>
        <v>0</v>
      </c>
    </row>
    <row r="44" ht="15" customHeight="1">
      <c r="C44" s="3" t="str">
        <v>Publicidades + Institucionales</v>
      </c>
      <c r="G44" s="3" t="str">
        <v>Publicidades + Institucionales</v>
      </c>
      <c r="K44" s="3" t="str">
        <v>Publicidades + Institucionales</v>
      </c>
      <c r="O44" s="3" t="str">
        <v>Publicidades + Institucionales</v>
      </c>
      <c r="S44" s="3" t="str">
        <v>Publicidades + Institucionales</v>
      </c>
      <c r="W44" s="3" t="str">
        <v>Publicidades + Institucionales</v>
      </c>
    </row>
    <row r="45" ht="15" customHeight="1">
      <c r="C45" s="3" t="str">
        <v>Duracion Total trailers + Publicidades</v>
      </c>
      <c r="E45" s="12">
        <f>SUM(E43:E44)</f>
        <v>0</v>
      </c>
      <c r="G45" s="3" t="str">
        <v>Duracion Total trailers + Publicidades</v>
      </c>
      <c r="I45" s="12">
        <f>SUM(I43:I44)</f>
        <v>0</v>
      </c>
      <c r="K45" s="3" t="str">
        <v>Duracion Total trailers + Publicidades</v>
      </c>
      <c r="O45" s="3" t="str">
        <v>Duracion Total trailers + Publicidades</v>
      </c>
      <c r="Q45" s="12">
        <f>SUM(Q43:Q44)</f>
        <v>0</v>
      </c>
      <c r="S45" s="3" t="str">
        <v>Duracion Total trailers + Publicidades</v>
      </c>
      <c r="U45" s="12">
        <f>SUM(U43:U44)</f>
        <v>0</v>
      </c>
      <c r="W45" s="3" t="str">
        <v>Duracion Total trailers + Publicidades</v>
      </c>
      <c r="Y45" s="12">
        <f>SUM(Y43:Y44)</f>
        <v>0</v>
      </c>
    </row>
    <row r="46" ht="15" customHeight="1">
      <c r="C46" s="3" t="str">
        <v>MINUTOS</v>
      </c>
      <c r="E46" s="14">
        <f>E45/60</f>
        <v>0</v>
      </c>
      <c r="G46" s="3" t="str">
        <v>MINUTOS</v>
      </c>
      <c r="I46" s="14">
        <f>I45/60</f>
        <v>0</v>
      </c>
      <c r="K46" s="3" t="str">
        <v>MINUTOS</v>
      </c>
      <c r="M46" s="14">
        <f>M45/60</f>
        <v>0</v>
      </c>
      <c r="O46" s="3" t="str">
        <v>MINUTOS</v>
      </c>
      <c r="Q46" s="14">
        <f>Q45/60</f>
        <v>0</v>
      </c>
      <c r="S46" s="3" t="str">
        <v>MINUTOS</v>
      </c>
      <c r="U46" s="14">
        <f>U45/60</f>
        <v>0</v>
      </c>
      <c r="W46" s="3" t="str">
        <v>MINUTOS</v>
      </c>
      <c r="Y46" s="14">
        <f>Y45/60</f>
        <v>0</v>
      </c>
    </row>
    <row r="47" ht="15" customHeight="1"/>
    <row r="48" ht="15" customHeight="1">
      <c r="B48" s="3" t="str">
        <v>SALA 4</v>
      </c>
    </row>
    <row r="49" ht="15" customHeight="1">
      <c r="B49" s="11" t="str">
        <v>Pelicula 1</v>
      </c>
      <c r="C49" s="11" t="str">
        <v>El diablo viste a la moda cas (R)</v>
      </c>
      <c r="F49" s="11" t="str">
        <v>Pelicula 2</v>
      </c>
      <c r="G49" s="11" t="str">
        <v>El partido cas (AC)</v>
      </c>
      <c r="J49" s="11" t="str">
        <v>Pelicula 3</v>
      </c>
      <c r="K49" s="11" t="str">
        <v>Mortal kombat ii cas</v>
      </c>
      <c r="N49" s="11" t="str">
        <v>Pelicula 4</v>
      </c>
      <c r="O49" s="11" t="str">
        <v>El diablo viste a la moda sub (R)</v>
      </c>
      <c r="R49" s="11" t="str">
        <v>Pelicula 5</v>
      </c>
      <c r="V49" s="11" t="str">
        <v>Pelicula 6</v>
      </c>
    </row>
    <row r="50" ht="15" customHeight="1">
      <c r="C50" s="11" t="str">
        <v>Trailer</v>
      </c>
      <c r="D50" s="11" t="str">
        <v>cantidad</v>
      </c>
      <c r="E50" s="11" t="str">
        <v>Duracion</v>
      </c>
      <c r="G50" s="11" t="str">
        <v>Trailer</v>
      </c>
      <c r="H50" s="11" t="str">
        <v>cantidad</v>
      </c>
      <c r="I50" s="11" t="str">
        <v>Duracion</v>
      </c>
      <c r="K50" s="11" t="str">
        <v>Trailer</v>
      </c>
      <c r="L50" s="11" t="str">
        <v>cantidad</v>
      </c>
      <c r="M50" s="11" t="str">
        <v>Duracion</v>
      </c>
      <c r="O50" s="11" t="str">
        <v>Trailer</v>
      </c>
      <c r="P50" s="11" t="str">
        <v>cantidad</v>
      </c>
      <c r="Q50" s="11" t="str">
        <v>Duracion</v>
      </c>
      <c r="S50" s="11" t="str">
        <v>Trailer</v>
      </c>
      <c r="T50" s="11" t="str">
        <v>cantidad</v>
      </c>
      <c r="U50" s="11" t="str">
        <v>Duracion</v>
      </c>
      <c r="W50" s="11" t="str">
        <v>Trailer</v>
      </c>
      <c r="X50" s="11" t="str">
        <v>cantidad</v>
      </c>
      <c r="Y50" s="11" t="str">
        <v>Duracion</v>
      </c>
    </row>
    <row r="51" ht="15" customHeight="1">
      <c r="B51" s="3" t="str">
        <v>Cola #4</v>
      </c>
      <c r="C51" s="5" t="str">
        <v>R-13</v>
      </c>
      <c r="D51" s="12">
        <v>1</v>
      </c>
      <c r="F51" s="3" t="str">
        <v>Cola #4</v>
      </c>
      <c r="G51" s="5" t="str">
        <v>Spot Mandalorian &amp; Grogu</v>
      </c>
      <c r="H51" s="12">
        <v>1</v>
      </c>
      <c r="J51" s="3" t="str">
        <v>Cola #4</v>
      </c>
      <c r="K51" s="5" t="str">
        <v>Spot Mandalorian  Grogu</v>
      </c>
      <c r="L51" s="12">
        <v>1</v>
      </c>
      <c r="N51" s="3" t="str">
        <v>Cola #4</v>
      </c>
      <c r="O51" s="5" t="str">
        <v>R-13</v>
      </c>
      <c r="P51" s="12">
        <v>1</v>
      </c>
      <c r="R51" s="3" t="str">
        <v>Cola #4</v>
      </c>
      <c r="T51" s="12">
        <v>1</v>
      </c>
      <c r="V51" s="3" t="str">
        <v>Cola #4</v>
      </c>
      <c r="X51" s="12">
        <v>1</v>
      </c>
    </row>
    <row r="52" ht="15" customHeight="1">
      <c r="A52" s="5" t="str">
        <v xml:space="preserve"> </v>
      </c>
      <c r="B52" s="3" t="str">
        <v>Cola #3</v>
      </c>
      <c r="C52" s="5" t="str">
        <v>Spot Mandalorian &amp; Grogu</v>
      </c>
      <c r="D52" s="12">
        <v>1</v>
      </c>
      <c r="F52" s="3" t="str">
        <v>Cola #3</v>
      </c>
      <c r="G52" s="5" t="str">
        <v>Dolly (R-13)</v>
      </c>
      <c r="H52" s="12">
        <v>1</v>
      </c>
      <c r="J52" s="3" t="str">
        <v>Cola #3</v>
      </c>
      <c r="K52" s="5" t="str">
        <v>Supergirl (SP)</v>
      </c>
      <c r="L52" s="12">
        <v>1</v>
      </c>
      <c r="N52" s="3" t="str">
        <v>Cola #3</v>
      </c>
      <c r="O52" s="5" t="str">
        <v>Spot Mandalorian &amp; Grogu</v>
      </c>
      <c r="P52" s="12">
        <v>1</v>
      </c>
      <c r="R52" s="3" t="str">
        <v>Cola #3</v>
      </c>
      <c r="T52" s="12">
        <v>1</v>
      </c>
      <c r="V52" s="3" t="str">
        <v>Cola #3</v>
      </c>
      <c r="X52" s="12">
        <v>1</v>
      </c>
    </row>
    <row r="53" ht="15" customHeight="1">
      <c r="B53" s="3" t="str">
        <v>Cola #2</v>
      </c>
      <c r="C53" s="5" t="str">
        <v>Yo, Narciso (G)</v>
      </c>
      <c r="D53" s="12">
        <v>1</v>
      </c>
      <c r="F53" s="3" t="str">
        <v>Cola #2</v>
      </c>
      <c r="G53" s="5" t="str">
        <v>La odisea (G)</v>
      </c>
      <c r="H53" s="12">
        <v>1</v>
      </c>
      <c r="J53" s="3" t="str">
        <v>Cola #2</v>
      </c>
      <c r="K53" s="5" t="str">
        <v>Backrooms (R-13)</v>
      </c>
      <c r="L53" s="12">
        <v>1</v>
      </c>
      <c r="N53" s="3" t="str">
        <v>Cola #2</v>
      </c>
      <c r="O53" s="5" t="str">
        <v>Yo, Narciso (G)</v>
      </c>
      <c r="P53" s="12">
        <v>1</v>
      </c>
      <c r="R53" s="3" t="str">
        <v>Cola #2</v>
      </c>
      <c r="T53" s="12">
        <v>1</v>
      </c>
      <c r="V53" s="3" t="str">
        <v>Cola #2</v>
      </c>
      <c r="X53" s="12">
        <v>1</v>
      </c>
    </row>
    <row r="54" ht="15" customHeight="1">
      <c r="B54" s="3" t="str">
        <v>Cola #1</v>
      </c>
      <c r="C54" s="5" t="str">
        <v>Supergirl (SP)</v>
      </c>
      <c r="D54" s="12">
        <v>1</v>
      </c>
      <c r="F54" s="3" t="str">
        <v>Cola #1</v>
      </c>
      <c r="G54" s="5" t="str">
        <v>El dia de la revelacion (R-13)</v>
      </c>
      <c r="H54" s="12">
        <v>1</v>
      </c>
      <c r="J54" s="3" t="str">
        <v>Cola #1</v>
      </c>
      <c r="K54" s="5" t="str">
        <v>The Amazing Digital circus (G)</v>
      </c>
      <c r="L54" s="12">
        <v>1</v>
      </c>
      <c r="N54" s="3" t="str">
        <v>Cola #1</v>
      </c>
      <c r="O54" s="5" t="str">
        <v>Supergirl (SP)</v>
      </c>
      <c r="P54" s="12">
        <v>1</v>
      </c>
      <c r="R54" s="3" t="str">
        <v>Cola #1</v>
      </c>
      <c r="T54" s="12">
        <v>1</v>
      </c>
      <c r="V54" s="3" t="str">
        <v>Cola #1</v>
      </c>
      <c r="X54" s="12">
        <v>1</v>
      </c>
    </row>
    <row r="55" ht="15" customHeight="1">
      <c r="C55" s="5" t="str">
        <v>La odisea (G)</v>
      </c>
      <c r="O55" s="5" t="str">
        <v>La odisea (G)</v>
      </c>
    </row>
    <row r="56" ht="15" customHeight="1">
      <c r="C56" s="5" t="str">
        <v>Total tiempo de Trailers</v>
      </c>
      <c r="D56" s="12">
        <f>SUM(D51:D54)</f>
        <v>4</v>
      </c>
      <c r="E56" s="13">
        <f>SUM(E51:E55)</f>
        <v>0</v>
      </c>
      <c r="G56" s="5" t="str">
        <v>Total tiempo de Trailers</v>
      </c>
      <c r="H56" s="12">
        <f>SUM(H51:H54)</f>
        <v>4</v>
      </c>
      <c r="I56" s="13">
        <f>SUM(I51:I55)</f>
        <v>0</v>
      </c>
      <c r="K56" s="5" t="str">
        <v>Total tiempo de Trailers</v>
      </c>
      <c r="L56" s="12">
        <f>SUM(L51:L54)</f>
        <v>4</v>
      </c>
      <c r="M56" s="13">
        <f>SUM(M51:M55)</f>
        <v>0</v>
      </c>
      <c r="O56" s="5" t="str">
        <v>Total tiempo de Trailers</v>
      </c>
      <c r="P56" s="12">
        <f>SUM(P51:P54)</f>
        <v>4</v>
      </c>
      <c r="Q56" s="13">
        <f>SUM(Q51:Q55)</f>
        <v>0</v>
      </c>
      <c r="S56" s="5" t="str">
        <v>Total tiempo de Trailers</v>
      </c>
      <c r="T56" s="12">
        <f>SUM(T51:T54)</f>
        <v>4</v>
      </c>
      <c r="U56" s="13">
        <f>SUM(U51:U55)</f>
        <v>0</v>
      </c>
      <c r="W56" s="5" t="str">
        <v>Total tiempo de Trailers</v>
      </c>
      <c r="X56" s="12">
        <f>SUM(X51:X54)</f>
        <v>4</v>
      </c>
      <c r="Y56" s="13">
        <f>SUM(Y51:Y55)</f>
        <v>0</v>
      </c>
    </row>
    <row r="57" ht="15" customHeight="1">
      <c r="C57" s="3" t="str">
        <v>Publicidades + Institucionales</v>
      </c>
      <c r="G57" s="3" t="str">
        <v>Publicidades + Institucionales</v>
      </c>
      <c r="K57" s="3" t="str">
        <v>Publicidades + Institucionales</v>
      </c>
      <c r="O57" s="3" t="str">
        <v>Publicidades + Institucionales</v>
      </c>
      <c r="S57" s="3" t="str">
        <v>Publicidades + Institucionales</v>
      </c>
      <c r="W57" s="3" t="str">
        <v>Publicidades + Institucionales</v>
      </c>
    </row>
    <row r="58" ht="15" customHeight="1">
      <c r="C58" s="3" t="str">
        <v>Duracion Total trailers + Publicidades</v>
      </c>
      <c r="E58" s="12">
        <f>SUM(E56:E57)</f>
        <v>0</v>
      </c>
      <c r="G58" s="3" t="str">
        <v>Duracion Total trailers + Publicidades</v>
      </c>
      <c r="I58" s="12">
        <f>SUM(I56:I57)</f>
        <v>0</v>
      </c>
      <c r="K58" s="3" t="str">
        <v>Duracion Total trailers + Publicidades</v>
      </c>
      <c r="O58" s="3" t="str">
        <v>Duracion Total trailers + Publicidades</v>
      </c>
      <c r="Q58" s="12">
        <f>SUM(Q56:Q57)</f>
        <v>0</v>
      </c>
      <c r="S58" s="3" t="str">
        <v>Duracion Total trailers + Publicidades</v>
      </c>
      <c r="U58" s="12">
        <f>SUM(U56:U57)</f>
        <v>0</v>
      </c>
      <c r="W58" s="3" t="str">
        <v>Duracion Total trailers + Publicidades</v>
      </c>
      <c r="Y58" s="12">
        <f>SUM(Y56:Y57)</f>
        <v>0</v>
      </c>
    </row>
    <row r="59" ht="15" customHeight="1">
      <c r="C59" s="3" t="str">
        <v>MINUTOS</v>
      </c>
      <c r="E59" s="14">
        <f>E58/60</f>
        <v>0</v>
      </c>
      <c r="G59" s="3" t="str">
        <v>MINUTOS</v>
      </c>
      <c r="I59" s="14">
        <f>I58/60</f>
        <v>0</v>
      </c>
      <c r="K59" s="3" t="str">
        <v>MINUTOS</v>
      </c>
      <c r="M59" s="14">
        <f>M58/60</f>
        <v>0</v>
      </c>
      <c r="O59" s="3" t="str">
        <v>MINUTOS</v>
      </c>
      <c r="Q59" s="14">
        <f>Q58/60</f>
        <v>0</v>
      </c>
      <c r="S59" s="3" t="str">
        <v>MINUTOS</v>
      </c>
      <c r="U59" s="14">
        <f>U58/60</f>
        <v>0</v>
      </c>
      <c r="W59" s="3" t="str">
        <v>MINUTOS</v>
      </c>
      <c r="Y59" s="14">
        <f>Y58/60</f>
        <v>0</v>
      </c>
    </row>
    <row r="60" ht="15" customHeight="1"/>
    <row r="61" ht="15" customHeight="1">
      <c r="B61" s="3" t="str">
        <v>SALA 5</v>
      </c>
    </row>
    <row r="62" ht="15" customHeight="1">
      <c r="B62" s="11" t="str">
        <v>Pelicula 1</v>
      </c>
      <c r="C62" s="11" t="str">
        <v>El partido cas (AC)</v>
      </c>
      <c r="F62" s="11" t="str">
        <v>Pelicula 2</v>
      </c>
      <c r="G62" s="11" t="str">
        <v>Mortal kombat ii cas</v>
      </c>
      <c r="J62" s="11" t="str">
        <v>Pelicula 3</v>
      </c>
      <c r="K62" s="11" t="str">
        <v>Txt moa con in japan live viewing sub (AC)</v>
      </c>
      <c r="N62" s="11" t="str">
        <v>Pelicula 4</v>
      </c>
      <c r="O62" s="11" t="str">
        <v>El diablo viste a la moda cas (R)</v>
      </c>
      <c r="R62" s="11" t="str">
        <v>Pelicula 5</v>
      </c>
      <c r="V62" s="11" t="str">
        <v>Pelicula 6</v>
      </c>
    </row>
    <row r="63" ht="15" customHeight="1">
      <c r="C63" s="11" t="str">
        <v>Trailer</v>
      </c>
      <c r="D63" s="11" t="str">
        <v>cantidad</v>
      </c>
      <c r="E63" s="11" t="str">
        <v>Duracion</v>
      </c>
      <c r="G63" s="11" t="str">
        <v>Trailer</v>
      </c>
      <c r="H63" s="11" t="str">
        <v>cantidad</v>
      </c>
      <c r="I63" s="11" t="str">
        <v>Duracion</v>
      </c>
      <c r="K63" s="11" t="str">
        <v>Trailer</v>
      </c>
      <c r="L63" s="11" t="str">
        <v>cantidad</v>
      </c>
      <c r="M63" s="11" t="str">
        <v>Duracion</v>
      </c>
      <c r="O63" s="11" t="str">
        <v>Trailer</v>
      </c>
      <c r="P63" s="11" t="str">
        <v>cantidad</v>
      </c>
      <c r="Q63" s="11" t="str">
        <v>Duracion</v>
      </c>
      <c r="S63" s="11" t="str">
        <v>Trailer</v>
      </c>
      <c r="T63" s="11" t="str">
        <v>cantidad</v>
      </c>
      <c r="U63" s="11" t="str">
        <v>Duracion</v>
      </c>
      <c r="W63" s="11" t="str">
        <v>Trailer</v>
      </c>
      <c r="X63" s="11" t="str">
        <v>cantidad</v>
      </c>
      <c r="Y63" s="11" t="str">
        <v>Duracion</v>
      </c>
    </row>
    <row r="64" ht="15" customHeight="1">
      <c r="B64" s="3" t="str">
        <v>Cola #4</v>
      </c>
      <c r="C64" s="5" t="str">
        <v>Spot Mandalorian &amp; Grogu</v>
      </c>
      <c r="D64" s="12">
        <v>1</v>
      </c>
      <c r="F64" s="3" t="str">
        <v>Cola #4</v>
      </c>
      <c r="G64" s="5" t="str">
        <v>Spot Mandalorian  Grogu</v>
      </c>
      <c r="H64" s="12">
        <v>1</v>
      </c>
      <c r="J64" s="3" t="str">
        <v>Cola #4</v>
      </c>
      <c r="L64" s="12">
        <v>1</v>
      </c>
      <c r="N64" s="3" t="str">
        <v>Cola #4</v>
      </c>
      <c r="O64" s="5" t="str">
        <v>R-13</v>
      </c>
      <c r="P64" s="12">
        <v>1</v>
      </c>
      <c r="R64" s="3" t="str">
        <v>Cola #4</v>
      </c>
      <c r="T64" s="12">
        <v>1</v>
      </c>
      <c r="V64" s="3" t="str">
        <v>Cola #4</v>
      </c>
      <c r="X64" s="12">
        <v>1</v>
      </c>
    </row>
    <row r="65" ht="15" customHeight="1">
      <c r="B65" s="3" t="str">
        <v>Cola #3</v>
      </c>
      <c r="C65" s="5" t="str">
        <v>Dolly (R-13)</v>
      </c>
      <c r="D65" s="12">
        <v>1</v>
      </c>
      <c r="F65" s="3" t="str">
        <v>Cola #3</v>
      </c>
      <c r="G65" s="5" t="str">
        <v>Supergirl (SP)</v>
      </c>
      <c r="H65" s="12">
        <v>1</v>
      </c>
      <c r="J65" s="3" t="str">
        <v>Cola #3</v>
      </c>
      <c r="L65" s="12">
        <v>1</v>
      </c>
      <c r="N65" s="3" t="str">
        <v>Cola #3</v>
      </c>
      <c r="O65" s="5" t="str">
        <v>Spot Mandalorian &amp; Grogu</v>
      </c>
      <c r="P65" s="12">
        <v>1</v>
      </c>
      <c r="R65" s="3" t="str">
        <v>Cola #3</v>
      </c>
      <c r="T65" s="12">
        <v>1</v>
      </c>
      <c r="V65" s="3" t="str">
        <v>Cola #3</v>
      </c>
      <c r="X65" s="12">
        <v>1</v>
      </c>
    </row>
    <row r="66" ht="15" customHeight="1">
      <c r="B66" s="3" t="str">
        <v>Cola #2</v>
      </c>
      <c r="C66" s="5" t="str">
        <v>La odisea (G)</v>
      </c>
      <c r="D66" s="12">
        <v>1</v>
      </c>
      <c r="F66" s="3" t="str">
        <v>Cola #2</v>
      </c>
      <c r="G66" s="5" t="str">
        <v>Backrooms (R-13)</v>
      </c>
      <c r="H66" s="12">
        <v>1</v>
      </c>
      <c r="J66" s="3" t="str">
        <v>Cola #2</v>
      </c>
      <c r="L66" s="12">
        <v>1</v>
      </c>
      <c r="N66" s="3" t="str">
        <v>Cola #2</v>
      </c>
      <c r="O66" s="5" t="str">
        <v>Yo, Narciso (G)</v>
      </c>
      <c r="P66" s="12">
        <v>1</v>
      </c>
      <c r="R66" s="3" t="str">
        <v>Cola #2</v>
      </c>
      <c r="T66" s="12">
        <v>1</v>
      </c>
      <c r="V66" s="3" t="str">
        <v>Cola #2</v>
      </c>
      <c r="X66" s="12">
        <v>1</v>
      </c>
    </row>
    <row r="67" ht="15" customHeight="1">
      <c r="B67" s="3" t="str">
        <v>Cola #1</v>
      </c>
      <c r="C67" s="5" t="str">
        <v>El dia de la revelacion (R-13)</v>
      </c>
      <c r="D67" s="12">
        <v>1</v>
      </c>
      <c r="F67" s="3" t="str">
        <v>Cola #1</v>
      </c>
      <c r="G67" s="5" t="str">
        <v>The Amazing Digital circus (G)</v>
      </c>
      <c r="H67" s="12">
        <v>1</v>
      </c>
      <c r="J67" s="3" t="str">
        <v>Cola #1</v>
      </c>
      <c r="L67" s="12">
        <v>1</v>
      </c>
      <c r="N67" s="3" t="str">
        <v>Cola #1</v>
      </c>
      <c r="O67" s="5" t="str">
        <v>Supergirl (SP)</v>
      </c>
      <c r="P67" s="12">
        <v>1</v>
      </c>
      <c r="R67" s="3" t="str">
        <v>Cola #1</v>
      </c>
      <c r="T67" s="12">
        <v>1</v>
      </c>
      <c r="V67" s="3" t="str">
        <v>Cola #1</v>
      </c>
      <c r="X67" s="12">
        <v>1</v>
      </c>
    </row>
    <row r="68" ht="15" customHeight="1">
      <c r="O68" s="5" t="str">
        <v>La odisea (G)</v>
      </c>
    </row>
    <row r="69" ht="15" customHeight="1">
      <c r="C69" s="5" t="str">
        <v>Total tiempo de Trailers</v>
      </c>
      <c r="D69" s="12">
        <f>SUM(D64:D67)</f>
        <v>4</v>
      </c>
      <c r="E69" s="13">
        <f>SUM(E64:E68)</f>
        <v>0</v>
      </c>
      <c r="G69" s="5" t="str">
        <v>Total tiempo de Trailers</v>
      </c>
      <c r="H69" s="12">
        <f>SUM(H64:H67)</f>
        <v>4</v>
      </c>
      <c r="I69" s="13">
        <f>SUM(I64:I68)</f>
        <v>0</v>
      </c>
      <c r="K69" s="5" t="str">
        <v>Total tiempo de Trailers</v>
      </c>
      <c r="L69" s="12">
        <f>SUM(L64:L67)</f>
        <v>4</v>
      </c>
      <c r="M69" s="13">
        <f>SUM(M64:M68)</f>
        <v>0</v>
      </c>
      <c r="O69" s="5" t="str">
        <v>Total tiempo de Trailers</v>
      </c>
      <c r="P69" s="12">
        <f>SUM(P64:P67)</f>
        <v>4</v>
      </c>
      <c r="Q69" s="13">
        <f>SUM(Q64:Q68)</f>
        <v>0</v>
      </c>
      <c r="S69" s="5" t="str">
        <v>Total tiempo de Trailers</v>
      </c>
      <c r="T69" s="12">
        <f>SUM(T64:T67)</f>
        <v>4</v>
      </c>
      <c r="U69" s="13">
        <f>SUM(U64:U68)</f>
        <v>0</v>
      </c>
      <c r="W69" s="5" t="str">
        <v>Total tiempo de Trailers</v>
      </c>
      <c r="X69" s="12">
        <f>SUM(X64:X67)</f>
        <v>4</v>
      </c>
      <c r="Y69" s="13">
        <f>SUM(Y64:Y68)</f>
        <v>0</v>
      </c>
    </row>
    <row r="70" ht="15" customHeight="1">
      <c r="C70" s="3" t="str">
        <v>Publicidades + Institucionales</v>
      </c>
      <c r="G70" s="3" t="str">
        <v>Publicidades + Institucionales</v>
      </c>
      <c r="K70" s="3" t="str">
        <v>Publicidades + Institucionales</v>
      </c>
      <c r="O70" s="3" t="str">
        <v>Publicidades + Institucionales</v>
      </c>
      <c r="S70" s="3" t="str">
        <v>Publicidades + Institucionales</v>
      </c>
      <c r="W70" s="3" t="str">
        <v>Publicidades + Institucionales</v>
      </c>
    </row>
    <row r="71" ht="15" customHeight="1">
      <c r="C71" s="3" t="str">
        <v>Duracion Total trailers + Publicidades</v>
      </c>
      <c r="E71" s="12">
        <f>SUM(E69:E70)</f>
        <v>0</v>
      </c>
      <c r="G71" s="3" t="str">
        <v>Duracion Total trailers + Publicidades</v>
      </c>
      <c r="I71" s="12">
        <f>SUM(I69:I70)</f>
        <v>0</v>
      </c>
      <c r="K71" s="3" t="str">
        <v>Duracion Total trailers + Publicidades</v>
      </c>
      <c r="O71" s="3" t="str">
        <v>Duracion Total trailers + Publicidades</v>
      </c>
      <c r="Q71" s="12">
        <f>SUM(Q69:Q70)</f>
        <v>0</v>
      </c>
      <c r="S71" s="3" t="str">
        <v>Duracion Total trailers + Publicidades</v>
      </c>
      <c r="U71" s="12">
        <f>SUM(U69:U70)</f>
        <v>0</v>
      </c>
      <c r="W71" s="3" t="str">
        <v>Duracion Total trailers + Publicidades</v>
      </c>
      <c r="Y71" s="12">
        <f>SUM(Y69:Y70)</f>
        <v>0</v>
      </c>
    </row>
    <row r="72" ht="15" customHeight="1">
      <c r="C72" s="3" t="str">
        <v>MINUTOS</v>
      </c>
      <c r="E72" s="14">
        <f>E71/60</f>
        <v>0</v>
      </c>
      <c r="G72" s="3" t="str">
        <v>MINUTOS</v>
      </c>
      <c r="I72" s="14">
        <f>I71/60</f>
        <v>0</v>
      </c>
      <c r="K72" s="3" t="str">
        <v>MINUTOS</v>
      </c>
      <c r="M72" s="14">
        <f>M71/60</f>
        <v>0</v>
      </c>
      <c r="O72" s="3" t="str">
        <v>MINUTOS</v>
      </c>
      <c r="Q72" s="14">
        <f>Q71/60</f>
        <v>0</v>
      </c>
      <c r="S72" s="3" t="str">
        <v>MINUTOS</v>
      </c>
      <c r="U72" s="14">
        <f>U71/60</f>
        <v>0</v>
      </c>
      <c r="W72" s="3" t="str">
        <v>MINUTOS</v>
      </c>
      <c r="Y72" s="14">
        <f>Y71/60</f>
        <v>0</v>
      </c>
    </row>
    <row r="73" ht="15" customHeight="1"/>
    <row r="74" ht="15" customHeight="1">
      <c r="B74" s="3" t="str">
        <v>SALA 6</v>
      </c>
    </row>
    <row r="75" ht="15" customHeight="1">
      <c r="B75" s="11" t="str">
        <v>Pelicula 1</v>
      </c>
      <c r="C75" s="11" t="str">
        <v>Umamusume pretty derby sub (G)</v>
      </c>
      <c r="F75" s="11" t="str">
        <v>Pelicula 2</v>
      </c>
      <c r="G75" s="11" t="str">
        <v>Nada entre los dos cas</v>
      </c>
      <c r="J75" s="11" t="str">
        <v>Pelicula 3</v>
      </c>
      <c r="K75" s="11" t="str">
        <v>El pasajero del diablo cas</v>
      </c>
      <c r="N75" s="11" t="str">
        <v>Pelicula 4</v>
      </c>
      <c r="R75" s="11" t="str">
        <v>Pelicula 5</v>
      </c>
      <c r="V75" s="11" t="str">
        <v>Pelicula 6</v>
      </c>
    </row>
    <row r="76" ht="15" customHeight="1">
      <c r="C76" s="11" t="str">
        <v>Trailer</v>
      </c>
      <c r="D76" s="11" t="str">
        <v>cantidad</v>
      </c>
      <c r="E76" s="11" t="str">
        <v>Duracion</v>
      </c>
      <c r="G76" s="11" t="str">
        <v>Trailer</v>
      </c>
      <c r="H76" s="11" t="str">
        <v>cantidad</v>
      </c>
      <c r="I76" s="11" t="str">
        <v>Duracion</v>
      </c>
      <c r="K76" s="11" t="str">
        <v>Trailer</v>
      </c>
      <c r="L76" s="11" t="str">
        <v>cantidad</v>
      </c>
      <c r="M76" s="11" t="str">
        <v>Duracion</v>
      </c>
      <c r="O76" s="11" t="str">
        <v>Trailer</v>
      </c>
      <c r="P76" s="11" t="str">
        <v>cantidad</v>
      </c>
      <c r="Q76" s="11" t="str">
        <v>Duracion</v>
      </c>
      <c r="S76" s="11" t="str">
        <v>Trailer</v>
      </c>
      <c r="T76" s="11" t="str">
        <v>cantidad</v>
      </c>
      <c r="U76" s="11" t="str">
        <v>Duracion</v>
      </c>
      <c r="W76" s="11" t="str">
        <v>Trailer</v>
      </c>
      <c r="X76" s="11" t="str">
        <v>cantidad</v>
      </c>
      <c r="Y76" s="11" t="str">
        <v>Duracion</v>
      </c>
    </row>
    <row r="77" ht="15" customHeight="1">
      <c r="B77" s="3" t="str">
        <v>Cola #4</v>
      </c>
      <c r="C77" s="5" t="str">
        <v>Spot Mandalorian &amp; Grogu</v>
      </c>
      <c r="D77" s="12">
        <v>1</v>
      </c>
      <c r="F77" s="3" t="str">
        <v>Cola #4</v>
      </c>
      <c r="G77" s="5" t="str">
        <v>SP</v>
      </c>
      <c r="H77" s="12">
        <v>1</v>
      </c>
      <c r="J77" s="3" t="str">
        <v>Cola #4</v>
      </c>
      <c r="K77" s="5" t="str">
        <v>Spot Mandalorian &amp; Grogu</v>
      </c>
      <c r="L77" s="12">
        <v>1</v>
      </c>
      <c r="N77" s="3" t="str">
        <v>Cola #4</v>
      </c>
      <c r="P77" s="12">
        <v>1</v>
      </c>
      <c r="R77" s="3" t="str">
        <v>Cola #4</v>
      </c>
      <c r="T77" s="12">
        <v>1</v>
      </c>
      <c r="V77" s="3" t="str">
        <v>Cola #4</v>
      </c>
      <c r="X77" s="12">
        <v>1</v>
      </c>
    </row>
    <row r="78" ht="15" customHeight="1">
      <c r="B78" s="3" t="str">
        <v>Cola #3</v>
      </c>
      <c r="C78" s="5" t="str">
        <v>Minions &amp; Monstruos (G)</v>
      </c>
      <c r="D78" s="12">
        <v>1</v>
      </c>
      <c r="F78" s="3" t="str">
        <v>Cola #3</v>
      </c>
      <c r="G78" s="5" t="str">
        <v>Spot Mandalorian &amp; Grogu</v>
      </c>
      <c r="H78" s="12">
        <v>1</v>
      </c>
      <c r="J78" s="3" t="str">
        <v>Cola #3</v>
      </c>
      <c r="K78" s="5" t="str">
        <v>Dolly (R-13)</v>
      </c>
      <c r="L78" s="12">
        <v>1</v>
      </c>
      <c r="N78" s="3" t="str">
        <v>Cola #3</v>
      </c>
      <c r="P78" s="12">
        <v>1</v>
      </c>
      <c r="R78" s="3" t="str">
        <v>Cola #3</v>
      </c>
      <c r="T78" s="12">
        <v>1</v>
      </c>
      <c r="V78" s="3" t="str">
        <v>Cola #3</v>
      </c>
      <c r="X78" s="12">
        <v>1</v>
      </c>
    </row>
    <row r="79" ht="15.75" customHeight="1">
      <c r="B79" s="3" t="str">
        <v>Cola #2</v>
      </c>
      <c r="C79" s="5" t="str">
        <v>Amos del universo (R-13)</v>
      </c>
      <c r="D79" s="12">
        <v>1</v>
      </c>
      <c r="F79" s="3" t="str">
        <v>Cola #2</v>
      </c>
      <c r="G79" s="5" t="str">
        <v>La odisea (G)</v>
      </c>
      <c r="H79" s="12">
        <v>1</v>
      </c>
      <c r="J79" s="3" t="str">
        <v>Cola #2</v>
      </c>
      <c r="K79" s="5" t="str">
        <v>La odisea (G)</v>
      </c>
      <c r="L79" s="12">
        <v>1</v>
      </c>
      <c r="N79" s="3" t="str">
        <v>Cola #2</v>
      </c>
      <c r="P79" s="12">
        <v>1</v>
      </c>
      <c r="R79" s="3" t="str">
        <v>Cola #2</v>
      </c>
      <c r="T79" s="12">
        <v>1</v>
      </c>
      <c r="V79" s="3" t="str">
        <v>Cola #2</v>
      </c>
      <c r="X79" s="12">
        <v>1</v>
      </c>
    </row>
    <row r="80" ht="15.75" customHeight="1">
      <c r="B80" s="3" t="str">
        <v>Cola #1</v>
      </c>
      <c r="C80" s="5" t="str">
        <v>Toy Story 5 (G)</v>
      </c>
      <c r="D80" s="12">
        <v>1</v>
      </c>
      <c r="F80" s="3" t="str">
        <v>Cola #1</v>
      </c>
      <c r="G80" s="5" t="str">
        <v>Moana (G)</v>
      </c>
      <c r="H80" s="12">
        <v>1</v>
      </c>
      <c r="J80" s="3" t="str">
        <v>Cola #1</v>
      </c>
      <c r="K80" s="5" t="str">
        <v>El dia de la revelacion (R-13)</v>
      </c>
      <c r="L80" s="12">
        <v>1</v>
      </c>
      <c r="N80" s="3" t="str">
        <v>Cola #1</v>
      </c>
      <c r="P80" s="12">
        <v>1</v>
      </c>
      <c r="R80" s="3" t="str">
        <v>Cola #1</v>
      </c>
      <c r="T80" s="12">
        <v>1</v>
      </c>
      <c r="V80" s="3" t="str">
        <v>Cola #1</v>
      </c>
      <c r="X80" s="12">
        <v>1</v>
      </c>
    </row>
    <row r="81" ht="15.75" customHeight="1">
      <c r="G81" s="5" t="str">
        <v>Yo Narciso (G)</v>
      </c>
    </row>
    <row r="82" ht="15.75" customHeight="1">
      <c r="C82" s="5" t="str">
        <v>Total tiempo de Trailers</v>
      </c>
      <c r="D82" s="12">
        <f>SUM(D77:D80)</f>
        <v>4</v>
      </c>
      <c r="E82" s="13">
        <f>SUM(E77:E81)</f>
        <v>0</v>
      </c>
      <c r="G82" s="5" t="str">
        <v>Total tiempo de Trailers</v>
      </c>
      <c r="H82" s="12">
        <f>SUM(H77:H80)</f>
        <v>4</v>
      </c>
      <c r="I82" s="13">
        <f>SUM(I77:I81)</f>
        <v>0</v>
      </c>
      <c r="K82" s="5" t="str">
        <v>Total tiempo de Trailers</v>
      </c>
      <c r="L82" s="12">
        <f>SUM(L77:L80)</f>
        <v>4</v>
      </c>
      <c r="M82" s="13">
        <f>SUM(M77:M81)</f>
        <v>0</v>
      </c>
      <c r="O82" s="5" t="str">
        <v>Total tiempo de Trailers</v>
      </c>
      <c r="P82" s="12">
        <f>SUM(P77:P80)</f>
        <v>4</v>
      </c>
      <c r="Q82" s="13">
        <f>SUM(Q77:Q81)</f>
        <v>0</v>
      </c>
      <c r="S82" s="5" t="str">
        <v>Total tiempo de Trailers</v>
      </c>
      <c r="T82" s="12">
        <f>SUM(T77:T80)</f>
        <v>4</v>
      </c>
      <c r="U82" s="13">
        <f>SUM(U77:U81)</f>
        <v>0</v>
      </c>
      <c r="W82" s="5" t="str">
        <v>Total tiempo de Trailers</v>
      </c>
      <c r="X82" s="12">
        <f>SUM(X77:X80)</f>
        <v>4</v>
      </c>
      <c r="Y82" s="13">
        <f>SUM(Y77:Y81)</f>
        <v>0</v>
      </c>
    </row>
    <row r="83" ht="15" customHeight="1">
      <c r="C83" s="3" t="str">
        <v>Publicidades + Institucionales</v>
      </c>
      <c r="G83" s="3" t="str">
        <v>Publicidades + Institucionales</v>
      </c>
      <c r="K83" s="3" t="str">
        <v>Publicidades + Institucionales</v>
      </c>
      <c r="O83" s="3" t="str">
        <v>Publicidades + Institucionales</v>
      </c>
      <c r="S83" s="3" t="str">
        <v>Publicidades + Institucionales</v>
      </c>
      <c r="W83" s="3" t="str">
        <v>Publicidades + Institucionales</v>
      </c>
    </row>
    <row r="84" ht="15" customHeight="1">
      <c r="C84" s="3" t="str">
        <v>Duracion Total trailers + Publicidades</v>
      </c>
      <c r="E84" s="12">
        <f>SUM(E82:E83)</f>
        <v>0</v>
      </c>
      <c r="G84" s="3" t="str">
        <v>Duracion Total trailers + Publicidades</v>
      </c>
      <c r="I84" s="12">
        <f>SUM(I82:I83)</f>
        <v>0</v>
      </c>
      <c r="K84" s="3" t="str">
        <v>Duracion Total trailers + Publicidades</v>
      </c>
      <c r="O84" s="3" t="str">
        <v>Duracion Total trailers + Publicidades</v>
      </c>
      <c r="Q84" s="12">
        <f>SUM(Q82:Q83)</f>
        <v>0</v>
      </c>
      <c r="S84" s="3" t="str">
        <v>Duracion Total trailers + Publicidades</v>
      </c>
      <c r="U84" s="12">
        <f>SUM(U82:U83)</f>
        <v>0</v>
      </c>
      <c r="W84" s="3" t="str">
        <v>Duracion Total trailers + Publicidades</v>
      </c>
      <c r="Y84" s="12">
        <f>SUM(Y82:Y83)</f>
        <v>0</v>
      </c>
    </row>
    <row r="85" ht="15" customHeight="1">
      <c r="C85" s="3" t="str">
        <v>MINUTOS</v>
      </c>
      <c r="E85" s="14">
        <f>E84/60</f>
        <v>0</v>
      </c>
      <c r="G85" s="3" t="str">
        <v>MINUTOS</v>
      </c>
      <c r="I85" s="14">
        <f>I84/60</f>
        <v>0</v>
      </c>
      <c r="K85" s="3" t="str">
        <v>MINUTOS</v>
      </c>
      <c r="M85" s="14">
        <f>M84/60</f>
        <v>0</v>
      </c>
      <c r="O85" s="3" t="str">
        <v>MINUTOS</v>
      </c>
      <c r="Q85" s="14">
        <f>Q84/60</f>
        <v>0</v>
      </c>
      <c r="S85" s="3" t="str">
        <v>MINUTOS</v>
      </c>
      <c r="U85" s="14">
        <f>U84/60</f>
        <v>0</v>
      </c>
      <c r="W85" s="3" t="str">
        <v>MINUTOS</v>
      </c>
      <c r="Y85" s="14">
        <f>Y84/60</f>
        <v>0</v>
      </c>
    </row>
    <row r="86" ht="15" customHeight="1"/>
    <row r="87" ht="15" customHeight="1">
      <c r="B87" s="3" t="str">
        <v>SALA 7</v>
      </c>
    </row>
    <row r="88" ht="15" customHeight="1">
      <c r="B88" s="11" t="str">
        <v>Pelicula 1</v>
      </c>
      <c r="C88" s="11" t="str">
        <v>Super mario galaxy la pelicula cas (G)</v>
      </c>
      <c r="F88" s="11" t="str">
        <v>Pelicula 2</v>
      </c>
      <c r="G88" s="11" t="str">
        <v>Mortal kombat ii cas</v>
      </c>
      <c r="J88" s="11" t="str">
        <v>Pelicula 3</v>
      </c>
      <c r="K88" s="11" t="str">
        <v>Obsesion cas (R)</v>
      </c>
      <c r="N88" s="11" t="str">
        <v>Pelicula 4</v>
      </c>
      <c r="R88" s="11" t="str">
        <v>Pelicula 5</v>
      </c>
      <c r="V88" s="11" t="str">
        <v>Pelicula 6</v>
      </c>
    </row>
    <row r="89" ht="15" customHeight="1">
      <c r="C89" s="11" t="str">
        <v>Trailer</v>
      </c>
      <c r="D89" s="11" t="str">
        <v>cantidad</v>
      </c>
      <c r="E89" s="11" t="str">
        <v>Duracion</v>
      </c>
      <c r="G89" s="11" t="str">
        <v>Trailer</v>
      </c>
      <c r="H89" s="11" t="str">
        <v>cantidad</v>
      </c>
      <c r="I89" s="11" t="str">
        <v>Duracion</v>
      </c>
      <c r="K89" s="11" t="str">
        <v>Trailer</v>
      </c>
      <c r="L89" s="11" t="str">
        <v>cantidad</v>
      </c>
      <c r="M89" s="11" t="str">
        <v>Duracion</v>
      </c>
      <c r="O89" s="11" t="str">
        <v>Trailer</v>
      </c>
      <c r="P89" s="11" t="str">
        <v>cantidad</v>
      </c>
      <c r="Q89" s="11" t="str">
        <v>Duracion</v>
      </c>
      <c r="S89" s="11" t="str">
        <v>Trailer</v>
      </c>
      <c r="T89" s="11" t="str">
        <v>cantidad</v>
      </c>
      <c r="U89" s="11" t="str">
        <v>Duracion</v>
      </c>
      <c r="W89" s="11" t="str">
        <v>Trailer</v>
      </c>
      <c r="X89" s="11" t="str">
        <v>cantidad</v>
      </c>
      <c r="Y89" s="11" t="str">
        <v>Duracion</v>
      </c>
    </row>
    <row r="90" ht="15" customHeight="1">
      <c r="B90" s="3" t="str">
        <v>Cola #4</v>
      </c>
      <c r="C90" s="5" t="str">
        <v>Spot Exclusivo Super Mario Galaxy</v>
      </c>
      <c r="D90" s="12">
        <v>1</v>
      </c>
      <c r="F90" s="3" t="str">
        <v>Cola #4</v>
      </c>
      <c r="G90" s="5" t="str">
        <v>Spot Mandalorian  Grogu</v>
      </c>
      <c r="H90" s="12">
        <v>1</v>
      </c>
      <c r="J90" s="3" t="str">
        <v>Cola #4</v>
      </c>
      <c r="K90" s="5" t="str">
        <v>Spot Mandalorian &amp; Grogu</v>
      </c>
      <c r="L90" s="12">
        <v>1</v>
      </c>
      <c r="N90" s="3" t="str">
        <v>Cola #4</v>
      </c>
      <c r="P90" s="12">
        <v>1</v>
      </c>
      <c r="R90" s="3" t="str">
        <v>Cola #4</v>
      </c>
      <c r="T90" s="12">
        <v>1</v>
      </c>
      <c r="V90" s="3" t="str">
        <v>Cola #4</v>
      </c>
      <c r="X90" s="12">
        <v>1</v>
      </c>
    </row>
    <row r="91" ht="15" customHeight="1">
      <c r="B91" s="3" t="str">
        <v>Cola #3</v>
      </c>
      <c r="C91" s="5" t="str">
        <v>Spot Mandalorian &amp; Grogu</v>
      </c>
      <c r="D91" s="12">
        <v>1</v>
      </c>
      <c r="F91" s="3" t="str">
        <v>Cola #3</v>
      </c>
      <c r="G91" s="5" t="str">
        <v>Supergirl (SP)</v>
      </c>
      <c r="H91" s="12">
        <v>1</v>
      </c>
      <c r="J91" s="3" t="str">
        <v>Cola #3</v>
      </c>
      <c r="K91" s="5" t="str">
        <v>La odisea (G)</v>
      </c>
      <c r="L91" s="12">
        <v>1</v>
      </c>
      <c r="N91" s="3" t="str">
        <v>Cola #3</v>
      </c>
      <c r="P91" s="12">
        <v>1</v>
      </c>
      <c r="R91" s="3" t="str">
        <v>Cola #3</v>
      </c>
      <c r="T91" s="12">
        <v>1</v>
      </c>
      <c r="V91" s="3" t="str">
        <v>Cola #3</v>
      </c>
      <c r="X91" s="12">
        <v>1</v>
      </c>
    </row>
    <row r="92" ht="15" customHeight="1">
      <c r="B92" s="3" t="str">
        <v>Cola #2</v>
      </c>
      <c r="C92" s="5" t="str">
        <v>Toy Story 5 (G)</v>
      </c>
      <c r="D92" s="12">
        <v>1</v>
      </c>
      <c r="F92" s="3" t="str">
        <v>Cola #2</v>
      </c>
      <c r="G92" s="5" t="str">
        <v>Backrooms (R-13)</v>
      </c>
      <c r="H92" s="12">
        <v>1</v>
      </c>
      <c r="J92" s="3" t="str">
        <v>Cola #2</v>
      </c>
      <c r="K92" s="5" t="str">
        <v>Scary Movie (R-13)</v>
      </c>
      <c r="L92" s="12">
        <v>1</v>
      </c>
      <c r="N92" s="3" t="str">
        <v>Cola #2</v>
      </c>
      <c r="P92" s="12">
        <v>1</v>
      </c>
      <c r="R92" s="3" t="str">
        <v>Cola #2</v>
      </c>
      <c r="T92" s="12">
        <v>1</v>
      </c>
      <c r="V92" s="3" t="str">
        <v>Cola #2</v>
      </c>
      <c r="X92" s="12">
        <v>1</v>
      </c>
    </row>
    <row r="93" ht="15" customHeight="1">
      <c r="B93" s="3" t="str">
        <v>Cola #1</v>
      </c>
      <c r="C93" s="5" t="str">
        <v>Minions &amp; Monstruos (G)</v>
      </c>
      <c r="D93" s="12">
        <v>1</v>
      </c>
      <c r="F93" s="3" t="str">
        <v>Cola #1</v>
      </c>
      <c r="G93" s="5" t="str">
        <v>The Amazing Digital circus (G)</v>
      </c>
      <c r="H93" s="12">
        <v>1</v>
      </c>
      <c r="J93" s="3" t="str">
        <v>Cola #1</v>
      </c>
      <c r="K93" s="5" t="str">
        <v>Backrooms (R-13)</v>
      </c>
      <c r="L93" s="12">
        <v>1</v>
      </c>
      <c r="N93" s="3" t="str">
        <v>Cola #1</v>
      </c>
      <c r="P93" s="12">
        <v>1</v>
      </c>
      <c r="R93" s="3" t="str">
        <v>Cola #1</v>
      </c>
      <c r="T93" s="12">
        <v>1</v>
      </c>
      <c r="V93" s="3" t="str">
        <v>Cola #1</v>
      </c>
      <c r="X93" s="12">
        <v>1</v>
      </c>
    </row>
    <row r="94" ht="15" customHeight="1">
      <c r="C94" s="5" t="str">
        <v>Moana (G)</v>
      </c>
    </row>
    <row r="95" ht="15" customHeight="1">
      <c r="C95" s="5" t="str">
        <v>Total tiempo de Trailers</v>
      </c>
      <c r="D95" s="12">
        <f>SUM(D90:D93)</f>
        <v>4</v>
      </c>
      <c r="E95" s="13">
        <f>SUM(E90:E94)</f>
        <v>0</v>
      </c>
      <c r="G95" s="5" t="str">
        <v>Total tiempo de Trailers</v>
      </c>
      <c r="H95" s="12">
        <f>SUM(H90:H93)</f>
        <v>4</v>
      </c>
      <c r="I95" s="13">
        <f>SUM(I90:I94)</f>
        <v>0</v>
      </c>
      <c r="K95" s="5" t="str">
        <v>Total tiempo de Trailers</v>
      </c>
      <c r="L95" s="12">
        <f>SUM(L90:L93)</f>
        <v>4</v>
      </c>
      <c r="M95" s="13">
        <f>SUM(M90:M94)</f>
        <v>0</v>
      </c>
      <c r="O95" s="5" t="str">
        <v>Total tiempo de Trailers</v>
      </c>
      <c r="P95" s="12">
        <f>SUM(P90:P93)</f>
        <v>4</v>
      </c>
      <c r="Q95" s="13">
        <f>SUM(Q90:Q94)</f>
        <v>0</v>
      </c>
      <c r="S95" s="5" t="str">
        <v>Total tiempo de Trailers</v>
      </c>
      <c r="T95" s="12">
        <f>SUM(T90:T93)</f>
        <v>4</v>
      </c>
      <c r="U95" s="13">
        <f>SUM(U90:U94)</f>
        <v>0</v>
      </c>
      <c r="W95" s="5" t="str">
        <v>Total tiempo de Trailers</v>
      </c>
      <c r="X95" s="12">
        <f>SUM(X90:X93)</f>
        <v>4</v>
      </c>
      <c r="Y95" s="13">
        <f>SUM(Y90:Y94)</f>
        <v>0</v>
      </c>
    </row>
    <row r="96" ht="15" customHeight="1">
      <c r="C96" s="3" t="str">
        <v>Publicidades + Institucionales</v>
      </c>
      <c r="G96" s="3" t="str">
        <v>Publicidades + Institucionales</v>
      </c>
      <c r="K96" s="3" t="str">
        <v>Publicidades + Institucionales</v>
      </c>
      <c r="O96" s="3" t="str">
        <v>Publicidades + Institucionales</v>
      </c>
      <c r="S96" s="3" t="str">
        <v>Publicidades + Institucionales</v>
      </c>
      <c r="W96" s="3" t="str">
        <v>Publicidades + Institucionales</v>
      </c>
    </row>
    <row r="97" ht="15" customHeight="1">
      <c r="C97" s="3" t="str">
        <v>Duracion Total trailers + Publicidades</v>
      </c>
      <c r="E97" s="12">
        <f>SUM(E95:E96)</f>
        <v>0</v>
      </c>
      <c r="G97" s="3" t="str">
        <v>Duracion Total trailers + Publicidades</v>
      </c>
      <c r="I97" s="12">
        <f>SUM(I95:I96)</f>
        <v>0</v>
      </c>
      <c r="K97" s="3" t="str">
        <v>Duracion Total trailers + Publicidades</v>
      </c>
      <c r="O97" s="3" t="str">
        <v>Duracion Total trailers + Publicidades</v>
      </c>
      <c r="Q97" s="12">
        <f>SUM(Q95:Q96)</f>
        <v>0</v>
      </c>
      <c r="S97" s="3" t="str">
        <v>Duracion Total trailers + Publicidades</v>
      </c>
      <c r="U97" s="12">
        <f>SUM(U95:U96)</f>
        <v>0</v>
      </c>
      <c r="W97" s="3" t="str">
        <v>Duracion Total trailers + Publicidades</v>
      </c>
      <c r="Y97" s="12">
        <f>SUM(Y95:Y96)</f>
        <v>0</v>
      </c>
    </row>
    <row r="98" ht="15" customHeight="1">
      <c r="C98" s="3" t="str">
        <v>MINUTOS</v>
      </c>
      <c r="E98" s="14">
        <f>E97/60</f>
        <v>0</v>
      </c>
      <c r="G98" s="3" t="str">
        <v>MINUTOS</v>
      </c>
      <c r="I98" s="14">
        <f>I97/60</f>
        <v>0</v>
      </c>
      <c r="K98" s="3" t="str">
        <v>MINUTOS</v>
      </c>
      <c r="M98" s="14">
        <f>M97/60</f>
        <v>0</v>
      </c>
      <c r="O98" s="3" t="str">
        <v>MINUTOS</v>
      </c>
      <c r="Q98" s="14">
        <f>Q97/60</f>
        <v>0</v>
      </c>
      <c r="S98" s="3" t="str">
        <v>MINUTOS</v>
      </c>
      <c r="U98" s="14">
        <f>U97/60</f>
        <v>0</v>
      </c>
      <c r="W98" s="3" t="str">
        <v>MINUTOS</v>
      </c>
      <c r="Y98" s="14">
        <f>Y97/60</f>
        <v>0</v>
      </c>
    </row>
    <row r="99" ht="15" customHeight="1"/>
    <row r="100" ht="15" customHeight="1">
      <c r="B100" s="3" t="str">
        <v>SALA 8</v>
      </c>
    </row>
    <row r="101" ht="15" customHeight="1">
      <c r="B101" s="11" t="str">
        <v>Pelicula 1</v>
      </c>
      <c r="C101" s="11" t="str">
        <v>El diablo viste a la moda cas (R)</v>
      </c>
      <c r="F101" s="11" t="str">
        <v>Pelicula 2</v>
      </c>
      <c r="G101" s="11" t="str">
        <v>Super mario galaxy la pelicula cas (G)</v>
      </c>
      <c r="J101" s="11" t="str">
        <v>Pelicula 3</v>
      </c>
      <c r="K101" s="11" t="str">
        <v>El diablo viste a la moda sub (R)</v>
      </c>
      <c r="N101" s="11" t="str">
        <v>Pelicula 4</v>
      </c>
      <c r="O101" s="11" t="str">
        <v>Backrooms sub (AC)</v>
      </c>
      <c r="R101" s="11" t="str">
        <v>Pelicula 5</v>
      </c>
      <c r="S101" s="11" t="str">
        <v>Michael cas (R)</v>
      </c>
      <c r="V101" s="11" t="str">
        <v>Pelicula 6</v>
      </c>
    </row>
    <row r="102" ht="15" customHeight="1">
      <c r="C102" s="11" t="str">
        <v>Trailer</v>
      </c>
      <c r="D102" s="11" t="str">
        <v>cantidad</v>
      </c>
      <c r="E102" s="11" t="str">
        <v>Duracion</v>
      </c>
      <c r="G102" s="11" t="str">
        <v>Trailer</v>
      </c>
      <c r="H102" s="11" t="str">
        <v>cantidad</v>
      </c>
      <c r="I102" s="11" t="str">
        <v>Duracion</v>
      </c>
      <c r="K102" s="11" t="str">
        <v>Trailer</v>
      </c>
      <c r="L102" s="11" t="str">
        <v>cantidad</v>
      </c>
      <c r="M102" s="11" t="str">
        <v>Duracion</v>
      </c>
      <c r="O102" s="11" t="str">
        <v>Trailer</v>
      </c>
      <c r="P102" s="11" t="str">
        <v>cantidad</v>
      </c>
      <c r="Q102" s="11" t="str">
        <v>Duracion</v>
      </c>
      <c r="S102" s="11" t="str">
        <v>Trailer</v>
      </c>
      <c r="T102" s="11" t="str">
        <v>cantidad</v>
      </c>
      <c r="U102" s="11" t="str">
        <v>Duracion</v>
      </c>
      <c r="W102" s="11" t="str">
        <v>Trailer</v>
      </c>
      <c r="X102" s="11" t="str">
        <v>cantidad</v>
      </c>
      <c r="Y102" s="11" t="str">
        <v>Duracion</v>
      </c>
    </row>
    <row r="103" ht="15" customHeight="1">
      <c r="B103" s="3" t="str">
        <v>Cola #4</v>
      </c>
      <c r="C103" s="5" t="str">
        <v>R-13</v>
      </c>
      <c r="D103" s="12">
        <v>1</v>
      </c>
      <c r="F103" s="3" t="str">
        <v>Cola #4</v>
      </c>
      <c r="G103" s="5" t="str">
        <v>Spot Exclusivo Super Mario Galaxy</v>
      </c>
      <c r="H103" s="12">
        <v>1</v>
      </c>
      <c r="J103" s="3" t="str">
        <v>Cola #4</v>
      </c>
      <c r="K103" s="5" t="str">
        <v>R-13</v>
      </c>
      <c r="L103" s="12">
        <v>1</v>
      </c>
      <c r="N103" s="3" t="str">
        <v>Cola #4</v>
      </c>
      <c r="O103" s="5" t="str">
        <v>Spot Mandalorian &amp; Grogu</v>
      </c>
      <c r="P103" s="12">
        <v>1</v>
      </c>
      <c r="R103" s="3" t="str">
        <v>Cola #4</v>
      </c>
      <c r="S103" s="5" t="str">
        <v>Spot Mandalorian &amp; Grogu</v>
      </c>
      <c r="T103" s="12">
        <v>1</v>
      </c>
      <c r="V103" s="3" t="str">
        <v>Cola #4</v>
      </c>
      <c r="X103" s="12">
        <v>1</v>
      </c>
    </row>
    <row r="104" ht="15" customHeight="1">
      <c r="B104" s="3" t="str">
        <v>Cola #3</v>
      </c>
      <c r="C104" s="5" t="str">
        <v>Spot Mandalorian &amp; Grogu</v>
      </c>
      <c r="D104" s="12">
        <v>1</v>
      </c>
      <c r="F104" s="3" t="str">
        <v>Cola #3</v>
      </c>
      <c r="G104" s="5" t="str">
        <v>Spot Mandalorian &amp; Grogu</v>
      </c>
      <c r="H104" s="12">
        <v>1</v>
      </c>
      <c r="J104" s="3" t="str">
        <v>Cola #3</v>
      </c>
      <c r="K104" s="5" t="str">
        <v>Spot Mandalorian &amp; Grogu</v>
      </c>
      <c r="L104" s="12">
        <v>1</v>
      </c>
      <c r="N104" s="3" t="str">
        <v>Cola #3</v>
      </c>
      <c r="O104" s="5" t="str">
        <v>Scary Movie (R-13)</v>
      </c>
      <c r="P104" s="12">
        <v>1</v>
      </c>
      <c r="R104" s="3" t="str">
        <v>Cola #3</v>
      </c>
      <c r="S104" s="5" t="str">
        <v>Yo Narciso (G)</v>
      </c>
      <c r="T104" s="12">
        <v>1</v>
      </c>
      <c r="V104" s="3" t="str">
        <v>Cola #3</v>
      </c>
      <c r="X104" s="12">
        <v>1</v>
      </c>
    </row>
    <row r="105" ht="15" customHeight="1">
      <c r="B105" s="3" t="str">
        <v>Cola #2</v>
      </c>
      <c r="C105" s="5" t="str">
        <v>Yo, Narciso (G)</v>
      </c>
      <c r="D105" s="12">
        <v>1</v>
      </c>
      <c r="F105" s="3" t="str">
        <v>Cola #2</v>
      </c>
      <c r="G105" s="5" t="str">
        <v>Toy Story 5 (G)</v>
      </c>
      <c r="H105" s="12">
        <v>1</v>
      </c>
      <c r="J105" s="3" t="str">
        <v>Cola #2</v>
      </c>
      <c r="K105" s="5" t="str">
        <v>Yo, Narciso (G)</v>
      </c>
      <c r="L105" s="12">
        <v>1</v>
      </c>
      <c r="N105" s="3" t="str">
        <v>Cola #2</v>
      </c>
      <c r="O105" s="5" t="str">
        <v>Spiderman: un nuevo dia (G)</v>
      </c>
      <c r="P105" s="12">
        <v>1</v>
      </c>
      <c r="R105" s="3" t="str">
        <v>Cola #2</v>
      </c>
      <c r="S105" s="5" t="str">
        <v>El dia de la revelacion (R-13)</v>
      </c>
      <c r="T105" s="12">
        <v>1</v>
      </c>
      <c r="V105" s="3" t="str">
        <v>Cola #2</v>
      </c>
      <c r="X105" s="12">
        <v>1</v>
      </c>
    </row>
    <row r="106" ht="15" customHeight="1">
      <c r="B106" s="3" t="str">
        <v>Cola #1</v>
      </c>
      <c r="C106" s="5" t="str">
        <v>Supergirl (SP)</v>
      </c>
      <c r="D106" s="12">
        <v>1</v>
      </c>
      <c r="F106" s="3" t="str">
        <v>Cola #1</v>
      </c>
      <c r="G106" s="5" t="str">
        <v>Minions &amp; Monstruos (G)</v>
      </c>
      <c r="H106" s="12">
        <v>1</v>
      </c>
      <c r="J106" s="3" t="str">
        <v>Cola #1</v>
      </c>
      <c r="K106" s="5" t="str">
        <v>Supergirl (SP)</v>
      </c>
      <c r="L106" s="12">
        <v>1</v>
      </c>
      <c r="N106" s="3" t="str">
        <v>Cola #1</v>
      </c>
      <c r="O106" s="5" t="str">
        <v>The Amazing Digital circus (G)</v>
      </c>
      <c r="P106" s="12">
        <v>1</v>
      </c>
      <c r="R106" s="3" t="str">
        <v>Cola #1</v>
      </c>
      <c r="S106" s="5" t="str">
        <v>La odisea (G)</v>
      </c>
      <c r="T106" s="12">
        <v>1</v>
      </c>
      <c r="V106" s="3" t="str">
        <v>Cola #1</v>
      </c>
      <c r="X106" s="12">
        <v>1</v>
      </c>
    </row>
    <row r="107" ht="15" customHeight="1">
      <c r="C107" s="5" t="str">
        <v>La odisea (G)</v>
      </c>
      <c r="G107" s="5" t="str">
        <v>Moana (G)</v>
      </c>
      <c r="K107" s="5" t="str">
        <v>La odisea (G)</v>
      </c>
    </row>
    <row r="108" ht="15" customHeight="1">
      <c r="C108" s="5" t="str">
        <v>Total tiempo de Trailers</v>
      </c>
      <c r="D108" s="12">
        <f>SUM(D103:D106)</f>
        <v>4</v>
      </c>
      <c r="E108" s="13">
        <f>SUM(E103:E107)</f>
        <v>0</v>
      </c>
      <c r="G108" s="5" t="str">
        <v>Total tiempo de Trailers</v>
      </c>
      <c r="H108" s="12">
        <f>SUM(H103:H106)</f>
        <v>4</v>
      </c>
      <c r="I108" s="13">
        <f>SUM(I103:I107)</f>
        <v>0</v>
      </c>
      <c r="K108" s="5" t="str">
        <v>Total tiempo de Trailers</v>
      </c>
      <c r="L108" s="12">
        <f>SUM(L103:L106)</f>
        <v>4</v>
      </c>
      <c r="M108" s="13">
        <f>SUM(M103:M107)</f>
        <v>0</v>
      </c>
      <c r="O108" s="5" t="str">
        <v>Total tiempo de Trailers</v>
      </c>
      <c r="P108" s="12">
        <f>SUM(P103:P106)</f>
        <v>4</v>
      </c>
      <c r="Q108" s="13">
        <f>SUM(Q103:Q107)</f>
        <v>0</v>
      </c>
      <c r="S108" s="5" t="str">
        <v>Total tiempo de Trailers</v>
      </c>
      <c r="T108" s="12">
        <f>SUM(T103:T106)</f>
        <v>4</v>
      </c>
      <c r="U108" s="13">
        <f>SUM(U103:U107)</f>
        <v>0</v>
      </c>
      <c r="W108" s="5" t="str">
        <v>Total tiempo de Trailers</v>
      </c>
      <c r="X108" s="12">
        <f>SUM(X103:X106)</f>
        <v>4</v>
      </c>
      <c r="Y108" s="13">
        <f>SUM(Y103:Y107)</f>
        <v>0</v>
      </c>
    </row>
    <row r="109" ht="15" customHeight="1">
      <c r="C109" s="3" t="str">
        <v>Publicidades + Institucionales</v>
      </c>
      <c r="G109" s="3" t="str">
        <v>Publicidades + Institucionales</v>
      </c>
      <c r="K109" s="3" t="str">
        <v>Publicidades + Institucionales</v>
      </c>
      <c r="O109" s="3" t="str">
        <v>Publicidades + Institucionales</v>
      </c>
      <c r="S109" s="3" t="str">
        <v>Publicidades + Institucionales</v>
      </c>
      <c r="W109" s="3" t="str">
        <v>Publicidades + Institucionales</v>
      </c>
    </row>
    <row r="110" ht="15" customHeight="1">
      <c r="C110" s="3" t="str">
        <v>Duracion Total trailers + Publicidades</v>
      </c>
      <c r="E110" s="12">
        <f>SUM(E108:E109)</f>
        <v>0</v>
      </c>
      <c r="G110" s="3" t="str">
        <v>Duracion Total trailers + Publicidades</v>
      </c>
      <c r="I110" s="12">
        <f>SUM(I108:I109)</f>
        <v>0</v>
      </c>
      <c r="K110" s="3" t="str">
        <v>Duracion Total trailers + Publicidades</v>
      </c>
      <c r="O110" s="3" t="str">
        <v>Duracion Total trailers + Publicidades</v>
      </c>
      <c r="Q110" s="12">
        <f>SUM(Q108:Q109)</f>
        <v>0</v>
      </c>
      <c r="S110" s="3" t="str">
        <v>Duracion Total trailers + Publicidades</v>
      </c>
      <c r="U110" s="12">
        <f>SUM(U108:U109)</f>
        <v>0</v>
      </c>
      <c r="W110" s="3" t="str">
        <v>Duracion Total trailers + Publicidades</v>
      </c>
      <c r="Y110" s="12">
        <f>SUM(Y108:Y109)</f>
        <v>0</v>
      </c>
    </row>
    <row r="111" ht="15" customHeight="1">
      <c r="C111" s="3" t="str">
        <v>MINUTOS</v>
      </c>
      <c r="E111" s="14">
        <f>E110/60</f>
        <v>0</v>
      </c>
      <c r="G111" s="3" t="str">
        <v>MINUTOS</v>
      </c>
      <c r="I111" s="14">
        <f>I110/60</f>
        <v>0</v>
      </c>
      <c r="K111" s="3" t="str">
        <v>MINUTOS</v>
      </c>
      <c r="M111" s="14">
        <f>M110/60</f>
        <v>0</v>
      </c>
      <c r="O111" s="3" t="str">
        <v>MINUTOS</v>
      </c>
      <c r="Q111" s="14">
        <f>Q110/60</f>
        <v>0</v>
      </c>
      <c r="S111" s="3" t="str">
        <v>MINUTOS</v>
      </c>
      <c r="U111" s="14">
        <f>U110/60</f>
        <v>0</v>
      </c>
      <c r="W111" s="3" t="str">
        <v>MINUTOS</v>
      </c>
      <c r="Y111" s="14">
        <f>Y110/60</f>
        <v>0</v>
      </c>
    </row>
    <row r="112" ht="15" customHeight="1">
      <c r="K112" s="3" t="str">
        <v>HAN SO+J96:M105CAST</v>
      </c>
    </row>
    <row r="113" ht="15" customHeight="1">
      <c r="B113" s="3" t="str">
        <v>SALA 9</v>
      </c>
    </row>
    <row r="114" ht="15" customHeight="1">
      <c r="B114" s="11" t="str">
        <v>Pelicula 1</v>
      </c>
      <c r="C114" s="11" t="str">
        <v>The mandalorian and grogu dbox cas (R)</v>
      </c>
      <c r="F114" s="11" t="str">
        <v>Pelicula 2</v>
      </c>
      <c r="J114" s="11" t="str">
        <v>Pelicula 3</v>
      </c>
      <c r="N114" s="11" t="str">
        <v>Pelicula 4</v>
      </c>
      <c r="R114" s="11" t="str">
        <v>Pelicula 5</v>
      </c>
      <c r="V114" s="11" t="str">
        <v>Pelicula 6</v>
      </c>
    </row>
    <row r="115" ht="15" customHeight="1">
      <c r="C115" s="11" t="str">
        <v>Trailer</v>
      </c>
      <c r="D115" s="11" t="str">
        <v>cantidad</v>
      </c>
      <c r="E115" s="11" t="str">
        <v>Duracion</v>
      </c>
      <c r="G115" s="11" t="str">
        <v>Trailer</v>
      </c>
      <c r="H115" s="11" t="str">
        <v>cantidad</v>
      </c>
      <c r="I115" s="11" t="str">
        <v>Duracion</v>
      </c>
      <c r="K115" s="11" t="str">
        <v>Trailer</v>
      </c>
      <c r="L115" s="11" t="str">
        <v>cantidad</v>
      </c>
      <c r="M115" s="11" t="str">
        <v>Duracion</v>
      </c>
      <c r="O115" s="11" t="str">
        <v>Trailer</v>
      </c>
      <c r="P115" s="11" t="str">
        <v>cantidad</v>
      </c>
      <c r="Q115" s="11" t="str">
        <v>Duracion</v>
      </c>
      <c r="S115" s="11" t="str">
        <v>Trailer</v>
      </c>
      <c r="T115" s="11" t="str">
        <v>cantidad</v>
      </c>
      <c r="U115" s="11" t="str">
        <v>Duracion</v>
      </c>
      <c r="W115" s="11" t="str">
        <v>Trailer</v>
      </c>
      <c r="X115" s="11" t="str">
        <v>cantidad</v>
      </c>
      <c r="Y115" s="11" t="str">
        <v>Duracion</v>
      </c>
    </row>
    <row r="116" ht="15" customHeight="1">
      <c r="B116" s="3" t="str">
        <v>Cola #4</v>
      </c>
      <c r="C116" s="5" t="str">
        <v>Spot Mandalorian &amp; Grogu</v>
      </c>
      <c r="D116" s="12">
        <v>1</v>
      </c>
      <c r="F116" s="3" t="str">
        <v>Cola #4</v>
      </c>
      <c r="H116" s="12">
        <v>1</v>
      </c>
      <c r="J116" s="3" t="str">
        <v>Cola #4</v>
      </c>
      <c r="L116" s="12">
        <v>1</v>
      </c>
      <c r="N116" s="3" t="str">
        <v>Cola #4</v>
      </c>
      <c r="P116" s="12">
        <v>1</v>
      </c>
      <c r="R116" s="3" t="str">
        <v>Cola #4</v>
      </c>
      <c r="T116" s="12">
        <v>1</v>
      </c>
      <c r="V116" s="3" t="str">
        <v>Cola #4</v>
      </c>
      <c r="X116" s="12">
        <v>1</v>
      </c>
    </row>
    <row r="117" ht="15" customHeight="1">
      <c r="B117" s="3" t="str">
        <v>Cola #3</v>
      </c>
      <c r="C117" s="5" t="str">
        <v>Contenido exclusivo Mandalorian &amp; Grogu</v>
      </c>
      <c r="D117" s="12">
        <v>1</v>
      </c>
      <c r="F117" s="3" t="str">
        <v>Cola #3</v>
      </c>
      <c r="H117" s="12">
        <v>1</v>
      </c>
      <c r="J117" s="3" t="str">
        <v>Cola #3</v>
      </c>
      <c r="L117" s="12">
        <v>1</v>
      </c>
      <c r="N117" s="3" t="str">
        <v>Cola #3</v>
      </c>
      <c r="P117" s="12">
        <v>1</v>
      </c>
      <c r="R117" s="3" t="str">
        <v>Cola #3</v>
      </c>
      <c r="T117" s="12">
        <v>1</v>
      </c>
      <c r="V117" s="3" t="str">
        <v>Cola #3</v>
      </c>
      <c r="X117" s="12">
        <v>1</v>
      </c>
    </row>
    <row r="118" ht="15" customHeight="1">
      <c r="B118" s="3" t="str">
        <v>Cola #2</v>
      </c>
      <c r="C118" s="5" t="str">
        <v>Toy Story 5 (G)</v>
      </c>
      <c r="D118" s="12">
        <v>1</v>
      </c>
      <c r="F118" s="3" t="str">
        <v>Cola #2</v>
      </c>
      <c r="H118" s="12">
        <v>1</v>
      </c>
      <c r="J118" s="3" t="str">
        <v>Cola #2</v>
      </c>
      <c r="L118" s="12">
        <v>1</v>
      </c>
      <c r="N118" s="3" t="str">
        <v>Cola #2</v>
      </c>
      <c r="P118" s="12">
        <v>1</v>
      </c>
      <c r="R118" s="3" t="str">
        <v>Cola #2</v>
      </c>
      <c r="T118" s="12">
        <v>1</v>
      </c>
      <c r="V118" s="3" t="str">
        <v>Cola #2</v>
      </c>
      <c r="X118" s="12">
        <v>1</v>
      </c>
    </row>
    <row r="119" ht="15" customHeight="1">
      <c r="B119" s="3" t="str">
        <v>Cola #1</v>
      </c>
      <c r="C119" s="5" t="str">
        <v>Spiderman: un nuevo dia (G)</v>
      </c>
      <c r="D119" s="12">
        <v>1</v>
      </c>
      <c r="F119" s="3" t="str">
        <v>Cola #1</v>
      </c>
      <c r="H119" s="12">
        <v>1</v>
      </c>
      <c r="J119" s="3" t="str">
        <v>Cola #1</v>
      </c>
      <c r="L119" s="12">
        <v>1</v>
      </c>
      <c r="N119" s="3" t="str">
        <v>Cola #1</v>
      </c>
      <c r="P119" s="12">
        <v>1</v>
      </c>
      <c r="R119" s="3" t="str">
        <v>Cola #1</v>
      </c>
      <c r="T119" s="12">
        <v>1</v>
      </c>
      <c r="V119" s="3" t="str">
        <v>Cola #1</v>
      </c>
      <c r="X119" s="12">
        <v>1</v>
      </c>
    </row>
    <row r="120" ht="15" customHeight="1"/>
    <row r="121" ht="15" customHeight="1">
      <c r="C121" s="5" t="str">
        <v>Total tiempo de Trailers</v>
      </c>
      <c r="D121" s="12">
        <f>SUM(D116:D119)</f>
        <v>4</v>
      </c>
      <c r="E121" s="13">
        <f>SUM(E116:E120)</f>
        <v>0</v>
      </c>
      <c r="G121" s="5" t="str">
        <v>Total tiempo de Trailers</v>
      </c>
      <c r="H121" s="12">
        <f>SUM(H116:H119)</f>
        <v>4</v>
      </c>
      <c r="I121" s="13">
        <f>SUM(I116:I120)</f>
        <v>0</v>
      </c>
      <c r="K121" s="5" t="str">
        <v>Total tiempo de Trailers</v>
      </c>
      <c r="L121" s="12">
        <f>SUM(L116:L119)</f>
        <v>4</v>
      </c>
      <c r="M121" s="13">
        <f>SUM(M116:M120)</f>
        <v>0</v>
      </c>
      <c r="O121" s="5" t="str">
        <v>Total tiempo de Trailers</v>
      </c>
      <c r="P121" s="12">
        <f>SUM(P116:P119)</f>
        <v>4</v>
      </c>
      <c r="Q121" s="13">
        <f>SUM(Q116:Q120)</f>
        <v>0</v>
      </c>
      <c r="S121" s="5" t="str">
        <v>Total tiempo de Trailers</v>
      </c>
      <c r="T121" s="12">
        <f>SUM(T116:T119)</f>
        <v>4</v>
      </c>
      <c r="U121" s="13">
        <f>SUM(U116:U120)</f>
        <v>0</v>
      </c>
      <c r="W121" s="5" t="str">
        <v>Total tiempo de Trailers</v>
      </c>
      <c r="X121" s="12">
        <f>SUM(X116:X119)</f>
        <v>4</v>
      </c>
      <c r="Y121" s="13">
        <f>SUM(Y116:Y120)</f>
        <v>0</v>
      </c>
    </row>
    <row r="122" ht="15" customHeight="1">
      <c r="C122" s="3" t="str">
        <v>Publicidades + Institucionales</v>
      </c>
      <c r="G122" s="3" t="str">
        <v>Publicidades + Institucionales</v>
      </c>
      <c r="K122" s="3" t="str">
        <v>Publicidades + Institucionales</v>
      </c>
      <c r="O122" s="3" t="str">
        <v>Publicidades + Institucionales</v>
      </c>
      <c r="S122" s="3" t="str">
        <v>Publicidades + Institucionales</v>
      </c>
      <c r="W122" s="3" t="str">
        <v>Publicidades + Institucionales</v>
      </c>
    </row>
    <row r="123" ht="15" customHeight="1">
      <c r="C123" s="3" t="str">
        <v>Duracion Total trailers + Publicidades</v>
      </c>
      <c r="E123" s="12">
        <f>SUM(E121:E122)</f>
        <v>0</v>
      </c>
      <c r="G123" s="3" t="str">
        <v>Duracion Total trailers + Publicidades</v>
      </c>
      <c r="I123" s="12">
        <f>SUM(I121:I122)</f>
        <v>0</v>
      </c>
      <c r="K123" s="3" t="str">
        <v>Duracion Total trailers + Publicidades</v>
      </c>
      <c r="O123" s="3" t="str">
        <v>Duracion Total trailers + Publicidades</v>
      </c>
      <c r="Q123" s="12">
        <f>SUM(Q121:Q122)</f>
        <v>0</v>
      </c>
      <c r="S123" s="3" t="str">
        <v>Duracion Total trailers + Publicidades</v>
      </c>
      <c r="U123" s="12">
        <f>SUM(U121:U122)</f>
        <v>0</v>
      </c>
      <c r="W123" s="3" t="str">
        <v>Duracion Total trailers + Publicidades</v>
      </c>
      <c r="Y123" s="12">
        <f>SUM(Y121:Y122)</f>
        <v>0</v>
      </c>
    </row>
    <row r="124" ht="15" customHeight="1">
      <c r="C124" s="3" t="str">
        <v>MINUTOS</v>
      </c>
      <c r="E124" s="14">
        <f>E123/60</f>
        <v>0</v>
      </c>
      <c r="G124" s="3" t="str">
        <v>MINUTOS</v>
      </c>
      <c r="I124" s="14">
        <f>I123/60</f>
        <v>0</v>
      </c>
      <c r="K124" s="3" t="str">
        <v>MINUTOS</v>
      </c>
      <c r="M124" s="14">
        <f>M123/60</f>
        <v>0</v>
      </c>
      <c r="O124" s="3" t="str">
        <v>MINUTOS</v>
      </c>
      <c r="Q124" s="14">
        <f>Q123/60</f>
        <v>0</v>
      </c>
      <c r="S124" s="3" t="str">
        <v>MINUTOS</v>
      </c>
      <c r="U124" s="14">
        <f>U123/60</f>
        <v>0</v>
      </c>
      <c r="W124" s="3" t="str">
        <v>MINUTOS</v>
      </c>
      <c r="Y124" s="14">
        <f>Y123/60</f>
        <v>0</v>
      </c>
    </row>
    <row r="125" ht="15" customHeight="1"/>
    <row r="126" ht="15" customHeight="1">
      <c r="B126" s="3" t="str">
        <v>SALA 10</v>
      </c>
    </row>
    <row r="127" ht="15" customHeight="1">
      <c r="B127" s="11" t="str">
        <v>Pelicula 1</v>
      </c>
      <c r="C127" s="11" t="str">
        <v>The mandalorian and grogu 3d dbox cas (R)</v>
      </c>
      <c r="F127" s="11" t="str">
        <v>Pelicula 2</v>
      </c>
      <c r="J127" s="11" t="str">
        <v>Pelicula 3</v>
      </c>
      <c r="N127" s="11" t="str">
        <v>Pelicula 4</v>
      </c>
      <c r="R127" s="11" t="str">
        <v>Pelicula 5</v>
      </c>
      <c r="V127" s="11" t="str">
        <v>Pelicula 6</v>
      </c>
    </row>
    <row r="128" ht="15" customHeight="1">
      <c r="C128" s="11" t="str">
        <v>Trailer</v>
      </c>
      <c r="D128" s="11" t="str">
        <v>cantidad</v>
      </c>
      <c r="E128" s="11" t="str">
        <v>Duracion</v>
      </c>
      <c r="G128" s="11" t="str">
        <v>Trailer</v>
      </c>
      <c r="H128" s="11" t="str">
        <v>cantidad</v>
      </c>
      <c r="I128" s="11" t="str">
        <v>Duracion</v>
      </c>
      <c r="K128" s="11" t="str">
        <v>Trailer</v>
      </c>
      <c r="L128" s="11" t="str">
        <v>cantidad</v>
      </c>
      <c r="M128" s="11" t="str">
        <v>Duracion</v>
      </c>
      <c r="O128" s="11" t="str">
        <v>Trailer</v>
      </c>
      <c r="P128" s="11" t="str">
        <v>cantidad</v>
      </c>
      <c r="Q128" s="11" t="str">
        <v>Duracion</v>
      </c>
      <c r="S128" s="11" t="str">
        <v>Trailer</v>
      </c>
      <c r="T128" s="11" t="str">
        <v>cantidad</v>
      </c>
      <c r="U128" s="11" t="str">
        <v>Duracion</v>
      </c>
      <c r="W128" s="11" t="str">
        <v>Trailer</v>
      </c>
      <c r="X128" s="11" t="str">
        <v>cantidad</v>
      </c>
      <c r="Y128" s="11" t="str">
        <v>Duracion</v>
      </c>
    </row>
    <row r="129" ht="15" customHeight="1">
      <c r="B129" s="3" t="str">
        <v>Cola #4</v>
      </c>
      <c r="C129" s="5" t="str">
        <v>Spot Mandalorian &amp; Grogu</v>
      </c>
      <c r="D129" s="12">
        <v>1</v>
      </c>
      <c r="F129" s="3" t="str">
        <v>Cola #4</v>
      </c>
      <c r="H129" s="12">
        <v>1</v>
      </c>
      <c r="J129" s="3" t="str">
        <v>Cola #4</v>
      </c>
      <c r="L129" s="12">
        <v>1</v>
      </c>
      <c r="N129" s="3" t="str">
        <v>Cola #4</v>
      </c>
      <c r="P129" s="12">
        <v>1</v>
      </c>
      <c r="R129" s="3" t="str">
        <v>Cola #4</v>
      </c>
      <c r="T129" s="12">
        <v>1</v>
      </c>
      <c r="V129" s="3" t="str">
        <v>Cola #4</v>
      </c>
      <c r="X129" s="12">
        <v>1</v>
      </c>
    </row>
    <row r="130" ht="15" customHeight="1">
      <c r="B130" s="3" t="str">
        <v>Cola #3</v>
      </c>
      <c r="C130" s="5" t="str">
        <v>Contenido exclusivo Mandalorian &amp; Grogu</v>
      </c>
      <c r="D130" s="12">
        <v>1</v>
      </c>
      <c r="F130" s="3" t="str">
        <v>Cola #3</v>
      </c>
      <c r="H130" s="12">
        <v>1</v>
      </c>
      <c r="J130" s="3" t="str">
        <v>Cola #3</v>
      </c>
      <c r="L130" s="12">
        <v>1</v>
      </c>
      <c r="N130" s="3" t="str">
        <v>Cola #3</v>
      </c>
      <c r="P130" s="12">
        <v>1</v>
      </c>
      <c r="R130" s="3" t="str">
        <v>Cola #3</v>
      </c>
      <c r="T130" s="12">
        <v>1</v>
      </c>
      <c r="V130" s="3" t="str">
        <v>Cola #3</v>
      </c>
      <c r="X130" s="12">
        <v>1</v>
      </c>
    </row>
    <row r="131" ht="15" customHeight="1">
      <c r="B131" s="3" t="str">
        <v>Cola #2</v>
      </c>
      <c r="C131" s="5" t="str">
        <v>Toy Story 5 (G)</v>
      </c>
      <c r="D131" s="12">
        <v>1</v>
      </c>
      <c r="F131" s="3" t="str">
        <v>Cola #2</v>
      </c>
      <c r="H131" s="12">
        <v>1</v>
      </c>
      <c r="J131" s="3" t="str">
        <v>Cola #2</v>
      </c>
      <c r="L131" s="12">
        <v>1</v>
      </c>
      <c r="N131" s="3" t="str">
        <v>Cola #2</v>
      </c>
      <c r="P131" s="12">
        <v>1</v>
      </c>
      <c r="R131" s="3" t="str">
        <v>Cola #2</v>
      </c>
      <c r="T131" s="12">
        <v>1</v>
      </c>
      <c r="V131" s="3" t="str">
        <v>Cola #2</v>
      </c>
      <c r="X131" s="12">
        <v>1</v>
      </c>
    </row>
    <row r="132" ht="15" customHeight="1">
      <c r="B132" s="3" t="str">
        <v>Cola #1</v>
      </c>
      <c r="C132" s="5" t="str">
        <v>Spiderman: un nuevo dia (G)</v>
      </c>
      <c r="D132" s="12">
        <v>1</v>
      </c>
      <c r="F132" s="3" t="str">
        <v>Cola #1</v>
      </c>
      <c r="H132" s="12">
        <v>1</v>
      </c>
      <c r="J132" s="3" t="str">
        <v>Cola #1</v>
      </c>
      <c r="L132" s="12">
        <v>1</v>
      </c>
      <c r="N132" s="3" t="str">
        <v>Cola #1</v>
      </c>
      <c r="P132" s="12">
        <v>1</v>
      </c>
      <c r="R132" s="3" t="str">
        <v>Cola #1</v>
      </c>
      <c r="T132" s="12">
        <v>1</v>
      </c>
      <c r="V132" s="3" t="str">
        <v>Cola #1</v>
      </c>
      <c r="X132" s="12">
        <v>1</v>
      </c>
    </row>
    <row r="133" ht="15" customHeight="1"/>
    <row r="134" ht="15" customHeight="1">
      <c r="C134" s="5" t="str">
        <v>Total tiempo de Trailers</v>
      </c>
      <c r="D134" s="12">
        <f>SUM(D129:D132)</f>
        <v>4</v>
      </c>
      <c r="E134" s="13">
        <f>SUM(E129:E133)</f>
        <v>0</v>
      </c>
      <c r="G134" s="5" t="str">
        <v>Total tiempo de Trailers</v>
      </c>
      <c r="H134" s="12">
        <f>SUM(H129:H132)</f>
        <v>4</v>
      </c>
      <c r="I134" s="13">
        <f>SUM(I129:I133)</f>
        <v>0</v>
      </c>
      <c r="K134" s="5" t="str">
        <v>Total tiempo de Trailers</v>
      </c>
      <c r="L134" s="12">
        <f>SUM(L129:L132)</f>
        <v>4</v>
      </c>
      <c r="M134" s="13">
        <f>SUM(M129:M133)</f>
        <v>0</v>
      </c>
      <c r="O134" s="5" t="str">
        <v>Total tiempo de Trailers</v>
      </c>
      <c r="P134" s="12">
        <f>SUM(P129:P132)</f>
        <v>4</v>
      </c>
      <c r="Q134" s="13">
        <f>SUM(Q129:Q133)</f>
        <v>0</v>
      </c>
      <c r="S134" s="5" t="str">
        <v>Total tiempo de Trailers</v>
      </c>
      <c r="T134" s="12">
        <f>SUM(T129:T132)</f>
        <v>4</v>
      </c>
      <c r="U134" s="13">
        <f>SUM(U129:U133)</f>
        <v>0</v>
      </c>
      <c r="W134" s="5" t="str">
        <v>Total tiempo de Trailers</v>
      </c>
      <c r="X134" s="12">
        <f>SUM(X129:X132)</f>
        <v>4</v>
      </c>
      <c r="Y134" s="13">
        <f>SUM(Y129:Y133)</f>
        <v>0</v>
      </c>
    </row>
    <row r="135" ht="15" customHeight="1">
      <c r="C135" s="3" t="str">
        <v>Publicidades + Institucionales</v>
      </c>
      <c r="G135" s="3" t="str">
        <v>Publicidades + Institucionales</v>
      </c>
      <c r="K135" s="3" t="str">
        <v>Publicidades + Institucionales</v>
      </c>
      <c r="O135" s="3" t="str">
        <v>Publicidades + Institucionales</v>
      </c>
      <c r="S135" s="3" t="str">
        <v>Publicidades + Institucionales</v>
      </c>
      <c r="W135" s="3" t="str">
        <v>Publicidades + Institucionales</v>
      </c>
    </row>
    <row r="136" ht="15" customHeight="1">
      <c r="C136" s="3" t="str">
        <v>Duracion Total trailers + Publicidades</v>
      </c>
      <c r="E136" s="12">
        <f>SUM(E134:E135)</f>
        <v>0</v>
      </c>
      <c r="G136" s="3" t="str">
        <v>Duracion Total trailers + Publicidades</v>
      </c>
      <c r="I136" s="12">
        <f>SUM(I134:I135)</f>
        <v>0</v>
      </c>
      <c r="K136" s="3" t="str">
        <v>Duracion Total trailers + Publicidades</v>
      </c>
      <c r="O136" s="3" t="str">
        <v>Duracion Total trailers + Publicidades</v>
      </c>
      <c r="Q136" s="12">
        <f>SUM(Q134:Q135)</f>
        <v>0</v>
      </c>
      <c r="S136" s="3" t="str">
        <v>Duracion Total trailers + Publicidades</v>
      </c>
      <c r="U136" s="12">
        <f>SUM(U134:U135)</f>
        <v>0</v>
      </c>
      <c r="W136" s="3" t="str">
        <v>Duracion Total trailers + Publicidades</v>
      </c>
      <c r="Y136" s="12">
        <f>SUM(Y134:Y135)</f>
        <v>0</v>
      </c>
    </row>
    <row r="137" ht="15" customHeight="1">
      <c r="C137" s="3" t="str">
        <v>MINUTOS</v>
      </c>
      <c r="E137" s="14">
        <f>E136/60</f>
        <v>0</v>
      </c>
      <c r="G137" s="3" t="str">
        <v>MINUTOS</v>
      </c>
      <c r="I137" s="14">
        <f>I136/60</f>
        <v>0</v>
      </c>
      <c r="K137" s="3" t="str">
        <v>MINUTOS</v>
      </c>
      <c r="M137" s="14">
        <f>M136/60</f>
        <v>0</v>
      </c>
      <c r="O137" s="3" t="str">
        <v>MINUTOS</v>
      </c>
      <c r="Q137" s="14">
        <f>Q136/60</f>
        <v>0</v>
      </c>
      <c r="S137" s="3" t="str">
        <v>MINUTOS</v>
      </c>
      <c r="U137" s="14">
        <f>U136/60</f>
        <v>0</v>
      </c>
      <c r="W137" s="3" t="str">
        <v>MINUTOS</v>
      </c>
      <c r="Y137" s="14">
        <f>Y136/60</f>
        <v>0</v>
      </c>
    </row>
    <row r="138" ht="15" customHeight="1"/>
    <row r="139" ht="15.75" customHeight="1">
      <c r="B139" s="3" t="str">
        <v>SALA 11</v>
      </c>
    </row>
    <row r="140" ht="15" customHeight="1">
      <c r="B140" s="11" t="str">
        <v>Pelicula 1</v>
      </c>
      <c r="C140" s="11" t="str">
        <v>The mandalorian and grogu 3d dbox cas (R)</v>
      </c>
      <c r="F140" s="11" t="str">
        <v>Pelicula 2</v>
      </c>
      <c r="G140" s="11" t="str">
        <v>The mandalorian and grogu dbox cas (R)</v>
      </c>
      <c r="J140" s="11" t="str">
        <v>Pelicula 3</v>
      </c>
      <c r="K140" s="11" t="str">
        <v>The mandalorian and grogu 3d dbox sub (R)</v>
      </c>
      <c r="N140" s="11" t="str">
        <v>Pelicula 4</v>
      </c>
      <c r="O140" s="11" t="str">
        <v>The mandalorian and grogu dbox sub (R)</v>
      </c>
      <c r="R140" s="11" t="str">
        <v>Pelicula 5</v>
      </c>
      <c r="V140" s="11" t="str">
        <v>Pelicula 6</v>
      </c>
    </row>
    <row r="141" ht="15" customHeight="1">
      <c r="C141" s="11" t="str">
        <v>Trailer</v>
      </c>
      <c r="D141" s="11" t="str">
        <v>cantidad</v>
      </c>
      <c r="E141" s="11" t="str">
        <v>Duracion</v>
      </c>
      <c r="G141" s="11" t="str">
        <v>Trailer</v>
      </c>
      <c r="H141" s="11" t="str">
        <v>cantidad</v>
      </c>
      <c r="I141" s="11" t="str">
        <v>Duracion</v>
      </c>
      <c r="K141" s="11" t="str">
        <v>Trailer</v>
      </c>
      <c r="L141" s="11" t="str">
        <v>cantidad</v>
      </c>
      <c r="M141" s="11" t="str">
        <v>Duracion</v>
      </c>
      <c r="O141" s="11" t="str">
        <v>Trailer</v>
      </c>
      <c r="P141" s="11" t="str">
        <v>cantidad</v>
      </c>
      <c r="Q141" s="11" t="str">
        <v>Duracion</v>
      </c>
      <c r="S141" s="11" t="str">
        <v>Trailer</v>
      </c>
      <c r="T141" s="11" t="str">
        <v>cantidad</v>
      </c>
      <c r="U141" s="11" t="str">
        <v>Duracion</v>
      </c>
      <c r="W141" s="11" t="str">
        <v>Trailer</v>
      </c>
      <c r="X141" s="11" t="str">
        <v>cantidad</v>
      </c>
      <c r="Y141" s="11" t="str">
        <v>Duracion</v>
      </c>
    </row>
    <row r="142" ht="15" customHeight="1">
      <c r="B142" s="3" t="str">
        <v>Cola #4</v>
      </c>
      <c r="C142" s="5" t="str">
        <v>Spot Mandalorian &amp; Grogu</v>
      </c>
      <c r="D142" s="12">
        <v>1</v>
      </c>
      <c r="F142" s="3" t="str">
        <v>Cola #4</v>
      </c>
      <c r="G142" s="5" t="str">
        <v>Spot Mandalorian &amp; Grogu</v>
      </c>
      <c r="H142" s="12">
        <v>1</v>
      </c>
      <c r="J142" s="3" t="str">
        <v>Cola #4</v>
      </c>
      <c r="K142" s="5" t="str">
        <v>Spot Mandalorian &amp; Grogu</v>
      </c>
      <c r="L142" s="12">
        <v>1</v>
      </c>
      <c r="N142" s="3" t="str">
        <v>Cola #4</v>
      </c>
      <c r="O142" s="5" t="str">
        <v>Spot Mandalorian &amp; Grogu</v>
      </c>
      <c r="P142" s="12">
        <v>1</v>
      </c>
      <c r="R142" s="3" t="str">
        <v>Cola #4</v>
      </c>
      <c r="T142" s="12">
        <v>1</v>
      </c>
      <c r="V142" s="3" t="str">
        <v>Cola #4</v>
      </c>
      <c r="X142" s="12">
        <v>1</v>
      </c>
    </row>
    <row r="143" ht="15" customHeight="1">
      <c r="B143" s="3" t="str">
        <v>Cola #3</v>
      </c>
      <c r="C143" s="5" t="str">
        <v>Contenido exclusivo Mandalorian &amp; Grogu</v>
      </c>
      <c r="D143" s="12">
        <v>1</v>
      </c>
      <c r="F143" s="3" t="str">
        <v>Cola #3</v>
      </c>
      <c r="G143" s="5" t="str">
        <v>Contenido exclusivo Mandalorian &amp; Grogu</v>
      </c>
      <c r="H143" s="12">
        <v>1</v>
      </c>
      <c r="J143" s="3" t="str">
        <v>Cola #3</v>
      </c>
      <c r="K143" s="5" t="str">
        <v>Contenido exclusivo Mandalorian &amp; Grogu</v>
      </c>
      <c r="L143" s="12">
        <v>1</v>
      </c>
      <c r="N143" s="3" t="str">
        <v>Cola #3</v>
      </c>
      <c r="O143" s="5" t="str">
        <v>Contenido exclusivo Mandalorian &amp; Grogu</v>
      </c>
      <c r="P143" s="12">
        <v>1</v>
      </c>
      <c r="R143" s="3" t="str">
        <v>Cola #3</v>
      </c>
      <c r="T143" s="12">
        <v>1</v>
      </c>
      <c r="V143" s="3" t="str">
        <v>Cola #3</v>
      </c>
      <c r="X143" s="12">
        <v>1</v>
      </c>
    </row>
    <row r="144" ht="15" customHeight="1">
      <c r="B144" s="3" t="str">
        <v>Cola #2</v>
      </c>
      <c r="C144" s="5" t="str">
        <v>Toy Story 5 (G)</v>
      </c>
      <c r="D144" s="12">
        <v>1</v>
      </c>
      <c r="F144" s="3" t="str">
        <v>Cola #2</v>
      </c>
      <c r="G144" s="5" t="str">
        <v>Toy Story 5 (G)</v>
      </c>
      <c r="H144" s="12">
        <v>1</v>
      </c>
      <c r="J144" s="3" t="str">
        <v>Cola #2</v>
      </c>
      <c r="K144" s="5" t="str">
        <v>Toy Story 5 (G)</v>
      </c>
      <c r="L144" s="12">
        <v>1</v>
      </c>
      <c r="N144" s="3" t="str">
        <v>Cola #2</v>
      </c>
      <c r="O144" s="5" t="str">
        <v>Toy Story 5 (G)</v>
      </c>
      <c r="P144" s="12">
        <v>1</v>
      </c>
      <c r="R144" s="3" t="str">
        <v>Cola #2</v>
      </c>
      <c r="T144" s="12">
        <v>1</v>
      </c>
      <c r="V144" s="3" t="str">
        <v>Cola #2</v>
      </c>
      <c r="X144" s="12">
        <v>1</v>
      </c>
    </row>
    <row r="145" ht="15" customHeight="1">
      <c r="B145" s="3" t="str">
        <v>Cola #1</v>
      </c>
      <c r="C145" s="5" t="str">
        <v>Spiderman: un nuevo dia (G)</v>
      </c>
      <c r="D145" s="12">
        <v>1</v>
      </c>
      <c r="F145" s="3" t="str">
        <v>Cola #1</v>
      </c>
      <c r="G145" s="5" t="str">
        <v>Spiderman: un nuevo dia (G)</v>
      </c>
      <c r="H145" s="12">
        <v>1</v>
      </c>
      <c r="J145" s="3" t="str">
        <v>Cola #1</v>
      </c>
      <c r="K145" s="5" t="str">
        <v>Spiderman: un nuevo dia (G)</v>
      </c>
      <c r="L145" s="12">
        <v>1</v>
      </c>
      <c r="N145" s="3" t="str">
        <v>Cola #1</v>
      </c>
      <c r="O145" s="5" t="str">
        <v>Spiderman: un nuevo dia (G)</v>
      </c>
      <c r="P145" s="12">
        <v>1</v>
      </c>
      <c r="R145" s="3" t="str">
        <v>Cola #1</v>
      </c>
      <c r="T145" s="12">
        <v>1</v>
      </c>
      <c r="V145" s="3" t="str">
        <v>Cola #1</v>
      </c>
      <c r="X145" s="12">
        <v>1</v>
      </c>
    </row>
    <row r="146" ht="15" customHeight="1"/>
    <row r="147" ht="15" customHeight="1">
      <c r="C147" s="5" t="str">
        <v>Total tiempo de Trailers</v>
      </c>
      <c r="D147" s="12">
        <f>SUM(D142:D145)</f>
        <v>4</v>
      </c>
      <c r="E147" s="13">
        <f>SUM(E142:E146)</f>
        <v>0</v>
      </c>
      <c r="G147" s="5" t="str">
        <v>Total tiempo de Trailers</v>
      </c>
      <c r="H147" s="12">
        <f>SUM(H142:H145)</f>
        <v>4</v>
      </c>
      <c r="I147" s="13">
        <f>SUM(I142:I146)</f>
        <v>0</v>
      </c>
      <c r="K147" s="5" t="str">
        <v>Total tiempo de Trailers</v>
      </c>
      <c r="L147" s="12">
        <f>SUM(L142:L145)</f>
        <v>4</v>
      </c>
      <c r="M147" s="13">
        <f>SUM(M142:M146)</f>
        <v>0</v>
      </c>
      <c r="O147" s="5" t="str">
        <v>Total tiempo de Trailers</v>
      </c>
      <c r="P147" s="12">
        <f>SUM(P142:P145)</f>
        <v>4</v>
      </c>
      <c r="Q147" s="13">
        <f>SUM(Q142:Q146)</f>
        <v>0</v>
      </c>
      <c r="S147" s="5" t="str">
        <v>Total tiempo de Trailers</v>
      </c>
      <c r="T147" s="12">
        <f>SUM(T142:T145)</f>
        <v>4</v>
      </c>
      <c r="U147" s="13">
        <f>SUM(U142:U146)</f>
        <v>0</v>
      </c>
      <c r="W147" s="5" t="str">
        <v>Total tiempo de Trailers</v>
      </c>
      <c r="X147" s="12">
        <f>SUM(X142:X145)</f>
        <v>4</v>
      </c>
      <c r="Y147" s="13">
        <f>SUM(Y142:Y146)</f>
        <v>0</v>
      </c>
    </row>
    <row r="148" ht="15" customHeight="1">
      <c r="C148" s="3" t="str">
        <v>Publicidades + Institucionales</v>
      </c>
      <c r="G148" s="3" t="str">
        <v>Publicidades + Institucionales</v>
      </c>
      <c r="K148" s="3" t="str">
        <v>Publicidades + Institucionales</v>
      </c>
      <c r="O148" s="3" t="str">
        <v>Publicidades + Institucionales</v>
      </c>
      <c r="S148" s="3" t="str">
        <v>Publicidades + Institucionales</v>
      </c>
      <c r="W148" s="3" t="str">
        <v>Publicidades + Institucionales</v>
      </c>
    </row>
    <row r="149" ht="15" customHeight="1">
      <c r="C149" s="3" t="str">
        <v>Duracion Total trailers + Publicidades</v>
      </c>
      <c r="E149" s="12">
        <f>SUM(E147:E148)</f>
        <v>0</v>
      </c>
      <c r="G149" s="3" t="str">
        <v>Duracion Total trailers + Publicidades</v>
      </c>
      <c r="I149" s="12">
        <f>SUM(I147:I148)</f>
        <v>0</v>
      </c>
      <c r="K149" s="3" t="str">
        <v>Duracion Total trailers + Publicidades</v>
      </c>
      <c r="O149" s="3" t="str">
        <v>Duracion Total trailers + Publicidades</v>
      </c>
      <c r="Q149" s="12">
        <f>SUM(Q147:Q148)</f>
        <v>0</v>
      </c>
      <c r="S149" s="3" t="str">
        <v>Duracion Total trailers + Publicidades</v>
      </c>
      <c r="U149" s="12">
        <f>SUM(U147:U148)</f>
        <v>0</v>
      </c>
      <c r="W149" s="3" t="str">
        <v>Duracion Total trailers + Publicidades</v>
      </c>
      <c r="Y149" s="12">
        <f>SUM(Y147:Y148)</f>
        <v>0</v>
      </c>
    </row>
    <row r="150" ht="15" customHeight="1">
      <c r="C150" s="3" t="str">
        <v>MINUTOS</v>
      </c>
      <c r="E150" s="14">
        <f>E149/60</f>
        <v>0</v>
      </c>
      <c r="G150" s="3" t="str">
        <v>MINUTOS</v>
      </c>
      <c r="I150" s="14">
        <f>I149/60</f>
        <v>0</v>
      </c>
      <c r="K150" s="3" t="str">
        <v>MINUTOS</v>
      </c>
      <c r="M150" s="14">
        <f>M149/60</f>
        <v>0</v>
      </c>
      <c r="O150" s="3" t="str">
        <v>MINUTOS</v>
      </c>
      <c r="Q150" s="14">
        <f>Q149/60</f>
        <v>0</v>
      </c>
      <c r="S150" s="3" t="str">
        <v>MINUTOS</v>
      </c>
      <c r="U150" s="14">
        <f>U149/60</f>
        <v>0</v>
      </c>
      <c r="W150" s="3" t="str">
        <v>MINUTOS</v>
      </c>
      <c r="Y150" s="14">
        <f>Y149/60</f>
        <v>0</v>
      </c>
    </row>
    <row r="151" ht="15" customHeight="1"/>
    <row r="152" ht="15" customHeight="1">
      <c r="B152" s="3" t="str">
        <v>SALA 12</v>
      </c>
    </row>
    <row r="153" ht="15" customHeight="1">
      <c r="B153" s="11" t="str">
        <v>Pelicula 1</v>
      </c>
      <c r="C153" s="11" t="str">
        <v>El diablo viste a la moda sub (R)</v>
      </c>
      <c r="F153" s="11" t="str">
        <v>Pelicula 2</v>
      </c>
      <c r="G153" s="11" t="str">
        <v>El diablo viste a la moda cas (R)</v>
      </c>
      <c r="J153" s="11" t="str">
        <v>Pelicula 3</v>
      </c>
      <c r="K153" s="11" t="str">
        <v>The mandalorian and grogu sub (R)</v>
      </c>
      <c r="N153" s="11" t="str">
        <v>Pelicula 4</v>
      </c>
      <c r="R153" s="11" t="str">
        <v>Pelicula 5</v>
      </c>
      <c r="V153" s="11" t="str">
        <v>Pelicula 6</v>
      </c>
    </row>
    <row r="154" ht="15" customHeight="1">
      <c r="C154" s="11" t="str">
        <v>Trailer</v>
      </c>
      <c r="D154" s="11" t="str">
        <v>cantidad</v>
      </c>
      <c r="E154" s="11" t="str">
        <v>Duracion</v>
      </c>
      <c r="G154" s="11" t="str">
        <v>Trailer</v>
      </c>
      <c r="H154" s="11" t="str">
        <v>cantidad</v>
      </c>
      <c r="I154" s="11" t="str">
        <v>Duracion</v>
      </c>
      <c r="K154" s="11" t="str">
        <v>Trailer</v>
      </c>
      <c r="L154" s="11" t="str">
        <v>cantidad</v>
      </c>
      <c r="M154" s="11" t="str">
        <v>Duracion</v>
      </c>
      <c r="O154" s="11" t="str">
        <v>Trailer</v>
      </c>
      <c r="P154" s="11" t="str">
        <v>cantidad</v>
      </c>
      <c r="Q154" s="11" t="str">
        <v>Duracion</v>
      </c>
      <c r="S154" s="11" t="str">
        <v>Trailer</v>
      </c>
      <c r="T154" s="11" t="str">
        <v>cantidad</v>
      </c>
      <c r="U154" s="11" t="str">
        <v>Duracion</v>
      </c>
      <c r="W154" s="11" t="str">
        <v>Trailer</v>
      </c>
      <c r="X154" s="11" t="str">
        <v>cantidad</v>
      </c>
      <c r="Y154" s="11" t="str">
        <v>Duracion</v>
      </c>
    </row>
    <row r="155" ht="15" customHeight="1">
      <c r="B155" s="3" t="str">
        <v>Cola #4</v>
      </c>
      <c r="C155" s="5" t="str">
        <v>R-13</v>
      </c>
      <c r="D155" s="12">
        <v>1</v>
      </c>
      <c r="F155" s="3" t="str">
        <v>Cola #4</v>
      </c>
      <c r="G155" s="5" t="str">
        <v>R-13</v>
      </c>
      <c r="H155" s="12">
        <v>1</v>
      </c>
      <c r="J155" s="3" t="str">
        <v>Cola #4</v>
      </c>
      <c r="K155" s="5" t="str">
        <v>Spot Mandalorian &amp; Grogu</v>
      </c>
      <c r="L155" s="12">
        <v>1</v>
      </c>
      <c r="N155" s="3" t="str">
        <v>Cola #4</v>
      </c>
      <c r="P155" s="12">
        <v>1</v>
      </c>
      <c r="R155" s="3" t="str">
        <v>Cola #4</v>
      </c>
      <c r="T155" s="12">
        <v>1</v>
      </c>
      <c r="V155" s="3" t="str">
        <v>Cola #4</v>
      </c>
      <c r="X155" s="12">
        <v>1</v>
      </c>
    </row>
    <row r="156" ht="15" customHeight="1">
      <c r="B156" s="3" t="str">
        <v>Cola #3</v>
      </c>
      <c r="C156" s="5" t="str">
        <v>Spot Mandalorian &amp; Grogu</v>
      </c>
      <c r="D156" s="12">
        <v>1</v>
      </c>
      <c r="F156" s="3" t="str">
        <v>Cola #3</v>
      </c>
      <c r="G156" s="5" t="str">
        <v>Spot Mandalorian &amp; Grogu</v>
      </c>
      <c r="H156" s="12">
        <v>1</v>
      </c>
      <c r="J156" s="3" t="str">
        <v>Cola #3</v>
      </c>
      <c r="K156" s="5" t="str">
        <v>Contenido exclusivo Mandalorian &amp; Grogu</v>
      </c>
      <c r="L156" s="12">
        <v>1</v>
      </c>
      <c r="N156" s="3" t="str">
        <v>Cola #3</v>
      </c>
      <c r="P156" s="12">
        <v>1</v>
      </c>
      <c r="R156" s="3" t="str">
        <v>Cola #3</v>
      </c>
      <c r="T156" s="12">
        <v>1</v>
      </c>
      <c r="V156" s="3" t="str">
        <v>Cola #3</v>
      </c>
      <c r="X156" s="12">
        <v>1</v>
      </c>
    </row>
    <row r="157" ht="15" customHeight="1">
      <c r="B157" s="3" t="str">
        <v>Cola #2</v>
      </c>
      <c r="C157" s="5" t="str">
        <v>Yo, Narciso (G)</v>
      </c>
      <c r="D157" s="12">
        <v>1</v>
      </c>
      <c r="F157" s="3" t="str">
        <v>Cola #2</v>
      </c>
      <c r="G157" s="5" t="str">
        <v>Yo, Narciso (G)</v>
      </c>
      <c r="H157" s="12">
        <v>1</v>
      </c>
      <c r="J157" s="3" t="str">
        <v>Cola #2</v>
      </c>
      <c r="K157" s="5" t="str">
        <v>Toy Story 5 (G)</v>
      </c>
      <c r="L157" s="12">
        <v>1</v>
      </c>
      <c r="N157" s="3" t="str">
        <v>Cola #2</v>
      </c>
      <c r="P157" s="12">
        <v>1</v>
      </c>
      <c r="R157" s="3" t="str">
        <v>Cola #2</v>
      </c>
      <c r="T157" s="12">
        <v>1</v>
      </c>
      <c r="V157" s="3" t="str">
        <v>Cola #2</v>
      </c>
      <c r="X157" s="12">
        <v>1</v>
      </c>
    </row>
    <row r="158" ht="15" customHeight="1">
      <c r="B158" s="3" t="str">
        <v>Cola #1</v>
      </c>
      <c r="C158" s="5" t="str">
        <v>Supergirl (SP)</v>
      </c>
      <c r="D158" s="12">
        <v>1</v>
      </c>
      <c r="F158" s="3" t="str">
        <v>Cola #1</v>
      </c>
      <c r="G158" s="5" t="str">
        <v>Supergirl (SP)</v>
      </c>
      <c r="H158" s="12">
        <v>1</v>
      </c>
      <c r="J158" s="3" t="str">
        <v>Cola #1</v>
      </c>
      <c r="K158" s="5" t="str">
        <v>Spiderman: un nuevo dia (G)</v>
      </c>
      <c r="L158" s="12">
        <v>1</v>
      </c>
      <c r="N158" s="3" t="str">
        <v>Cola #1</v>
      </c>
      <c r="P158" s="12">
        <v>1</v>
      </c>
      <c r="R158" s="3" t="str">
        <v>Cola #1</v>
      </c>
      <c r="T158" s="12">
        <v>1</v>
      </c>
      <c r="V158" s="3" t="str">
        <v>Cola #1</v>
      </c>
      <c r="X158" s="12">
        <v>1</v>
      </c>
    </row>
    <row r="159" ht="15" customHeight="1">
      <c r="C159" s="5" t="str">
        <v>La odisea (G)</v>
      </c>
      <c r="G159" s="5" t="str">
        <v>La odisea (G)</v>
      </c>
    </row>
    <row r="160" ht="15" customHeight="1">
      <c r="C160" s="5" t="str">
        <v>Total tiempo de Trailers</v>
      </c>
      <c r="D160" s="12">
        <f>SUM(D155:D158)</f>
        <v>4</v>
      </c>
      <c r="E160" s="13">
        <f>SUM(E155:E159)</f>
        <v>0</v>
      </c>
      <c r="G160" s="5" t="str">
        <v>Total tiempo de Trailers</v>
      </c>
      <c r="H160" s="12">
        <f>SUM(H155:H158)</f>
        <v>4</v>
      </c>
      <c r="I160" s="13">
        <f>SUM(I155:I159)</f>
        <v>0</v>
      </c>
      <c r="K160" s="5" t="str">
        <v>Total tiempo de Trailers</v>
      </c>
      <c r="L160" s="12">
        <f>SUM(L155:L158)</f>
        <v>4</v>
      </c>
      <c r="M160" s="13">
        <f>SUM(M155:M159)</f>
        <v>0</v>
      </c>
      <c r="O160" s="5" t="str">
        <v>Total tiempo de Trailers</v>
      </c>
      <c r="P160" s="12">
        <f>SUM(P155:P158)</f>
        <v>4</v>
      </c>
      <c r="Q160" s="13">
        <f>SUM(Q155:Q159)</f>
        <v>0</v>
      </c>
      <c r="S160" s="5" t="str">
        <v>Total tiempo de Trailers</v>
      </c>
      <c r="T160" s="12">
        <f>SUM(T155:T158)</f>
        <v>4</v>
      </c>
      <c r="U160" s="13">
        <f>SUM(U155:U159)</f>
        <v>0</v>
      </c>
      <c r="W160" s="5" t="str">
        <v>Total tiempo de Trailers</v>
      </c>
      <c r="X160" s="12">
        <f>SUM(X155:X158)</f>
        <v>4</v>
      </c>
      <c r="Y160" s="13">
        <f>SUM(Y155:Y159)</f>
        <v>0</v>
      </c>
    </row>
    <row r="161" ht="15" customHeight="1">
      <c r="C161" s="3" t="str">
        <v>Publicidades + Institucionales</v>
      </c>
      <c r="G161" s="3" t="str">
        <v>Publicidades + Institucionales</v>
      </c>
      <c r="K161" s="3" t="str">
        <v>Publicidades + Institucionales</v>
      </c>
      <c r="O161" s="3" t="str">
        <v>Publicidades + Institucionales</v>
      </c>
      <c r="S161" s="3" t="str">
        <v>Publicidades + Institucionales</v>
      </c>
      <c r="W161" s="3" t="str">
        <v>Publicidades + Institucionales</v>
      </c>
    </row>
    <row r="162" ht="15" customHeight="1">
      <c r="C162" s="3" t="str">
        <v>Duracion Total trailers + Publicidades</v>
      </c>
      <c r="E162" s="12">
        <f>SUM(E160:E161)</f>
        <v>0</v>
      </c>
      <c r="G162" s="3" t="str">
        <v>Duracion Total trailers + Publicidades</v>
      </c>
      <c r="I162" s="12">
        <f>SUM(I160:I161)</f>
        <v>0</v>
      </c>
      <c r="K162" s="3" t="str">
        <v>Duracion Total trailers + Publicidades</v>
      </c>
      <c r="O162" s="3" t="str">
        <v>Duracion Total trailers + Publicidades</v>
      </c>
      <c r="Q162" s="12">
        <f>SUM(Q160:Q161)</f>
        <v>0</v>
      </c>
      <c r="S162" s="3" t="str">
        <v>Duracion Total trailers + Publicidades</v>
      </c>
      <c r="U162" s="12">
        <f>SUM(U160:U161)</f>
        <v>0</v>
      </c>
      <c r="W162" s="3" t="str">
        <v>Duracion Total trailers + Publicidades</v>
      </c>
      <c r="Y162" s="12">
        <f>SUM(Y160:Y161)</f>
        <v>0</v>
      </c>
    </row>
    <row r="163" ht="15" customHeight="1">
      <c r="C163" s="3" t="str">
        <v>MINUTOS</v>
      </c>
      <c r="E163" s="14">
        <f>E162/60</f>
        <v>0</v>
      </c>
      <c r="G163" s="3" t="str">
        <v>MINUTOS</v>
      </c>
      <c r="I163" s="14">
        <f>I162/60</f>
        <v>0</v>
      </c>
      <c r="K163" s="3" t="str">
        <v>MINUTOS</v>
      </c>
      <c r="M163" s="14">
        <f>M162/60</f>
        <v>0</v>
      </c>
      <c r="O163" s="3" t="str">
        <v>MINUTOS</v>
      </c>
      <c r="Q163" s="14">
        <f>Q162/60</f>
        <v>0</v>
      </c>
      <c r="S163" s="3" t="str">
        <v>MINUTOS</v>
      </c>
      <c r="U163" s="14">
        <f>U162/60</f>
        <v>0</v>
      </c>
      <c r="W163" s="3" t="str">
        <v>MINUTOS</v>
      </c>
      <c r="Y163" s="14">
        <f>Y162/60</f>
        <v>0</v>
      </c>
    </row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</sheetData>
  <mergeCells count="7">
    <mergeCell ref="B2:I4"/>
    <mergeCell ref="D5:F5"/>
    <mergeCell ref="D6:F6"/>
    <mergeCell ref="H6:I6"/>
    <mergeCell ref="D7:F7"/>
    <mergeCell ref="B9:I9"/>
    <mergeCell ref="B22:I22"/>
  </mergeCells>
  <pageMargins left="0.25" right="0.25" top="0.75" bottom="0.75" header="0.3" footer="0.3"/>
  <ignoredErrors>
    <ignoredError numberStoredAsText="1" sqref="A1:Y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Programacion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2015-12-01T13:31:19Z</dcterms:created>
  <dcterms:modified xsi:type="dcterms:W3CDTF">2025-11-19T16:19:10Z</dcterms:modified>
  <cp:lastModifiedBy>Proyeccion Abasto</cp:lastModifiedBy>
  <cp:lastPrinted>2023-01-12T01:24:32Z</cp:lastPrinted>
  <dc:creator>Rocio Lopez</dc:creator>
</cp:coreProperties>
</file>